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res/Documents/Doctorado unam/Seminario 8vo sem/"/>
    </mc:Choice>
  </mc:AlternateContent>
  <xr:revisionPtr revIDLastSave="0" documentId="13_ncr:1_{03223C26-ACF4-624F-917E-3F9DD80670B2}" xr6:coauthVersionLast="47" xr6:coauthVersionMax="47" xr10:uidLastSave="{00000000-0000-0000-0000-000000000000}"/>
  <bookViews>
    <workbookView xWindow="0" yWindow="500" windowWidth="26440" windowHeight="14300" xr2:uid="{6B5318D6-C67D-FC4B-B88E-ACD88AB6A3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<sst xmlns="http://schemas.openxmlformats.org/spreadsheetml/2006/main" count="101" uniqueCount="69">
  <si>
    <t>Estado</t>
  </si>
  <si>
    <t>Inci14</t>
  </si>
  <si>
    <t>Inci15</t>
  </si>
  <si>
    <t>Inci16</t>
  </si>
  <si>
    <t>Inci17</t>
  </si>
  <si>
    <t>Inci18</t>
  </si>
  <si>
    <t>Inci19</t>
  </si>
  <si>
    <t>Inci20</t>
  </si>
  <si>
    <t>Inci21</t>
  </si>
  <si>
    <t>Inci22</t>
  </si>
  <si>
    <t>Inci23</t>
  </si>
  <si>
    <t>ing2014</t>
  </si>
  <si>
    <t>ing2015</t>
  </si>
  <si>
    <t>ing2016</t>
  </si>
  <si>
    <t>ing2017</t>
  </si>
  <si>
    <t>ing2018</t>
  </si>
  <si>
    <t>ing2019</t>
  </si>
  <si>
    <t>ing2020</t>
  </si>
  <si>
    <t>ing2021</t>
  </si>
  <si>
    <t>ing2022</t>
  </si>
  <si>
    <t>ing2023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</si>
  <si>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</si>
  <si>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</si>
  <si>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</si>
  <si>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</si>
  <si>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</si>
  <si>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</si>
  <si>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</si>
  <si>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</si>
  <si>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</si>
  <si>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</si>
  <si>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</si>
  <si>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</si>
  <si>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</si>
  <si>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</si>
  <si>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</si>
  <si>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</si>
  <si>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</si>
  <si>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</si>
  <si>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</si>
  <si>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</si>
  <si>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</si>
  <si>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</si>
  <si>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</si>
  <si>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</si>
  <si>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</si>
  <si>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</si>
  <si>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</si>
  <si>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</si>
  <si>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</si>
  <si>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</si>
  <si>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</si>
  <si>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</si>
  <si>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</si>
  <si>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</si>
  <si>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</si>
  <si>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</si>
  <si>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</si>
  <si>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</si>
  <si>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</si>
  <si>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</si>
  <si>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</si>
  <si>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</si>
  <si>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PromIncid</t>
  </si>
  <si>
    <t>PromGin_i</t>
  </si>
  <si>
    <t>PromGini_p</t>
  </si>
  <si>
    <t>min</t>
  </si>
  <si>
    <t>max</t>
  </si>
  <si>
    <t>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</si>
</sst>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0E6F5"/>
        <bgColor rgb="FFC0E6F5"/>
      </patternFill>
    </fill>
    <fill>
      <patternFill patternType="solid">
        <fgColor theme="5" tint="0.39997558519241921"/>
        <bgColor rgb="FFC0E6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/>
    <xf numFmtId="165" fontId="2" fillId="0" borderId="0" xfId="0" applyNumberFormat="1" applyFont="1"/>
    <xf numFmtId="0" fontId="1" fillId="2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Hoja1!$A$2:$A$33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Hoja1!$W$2:$W$33</c:f>
              <c:numCache>
                <c:formatCode>General</c:formatCode>
                <c:ptCount val="32"/>
                <c:pt idx="0">
                  <c:v>1.0164938999999998E-2</c:v>
                </c:pt>
                <c:pt idx="1">
                  <c:v>2.7052450999999998E-2</c:v>
                </c:pt>
                <c:pt idx="2">
                  <c:v>6.2468490000000005E-3</c:v>
                </c:pt>
                <c:pt idx="3">
                  <c:v>1.1017255E-2</c:v>
                </c:pt>
                <c:pt idx="4">
                  <c:v>1.3211878999999999E-2</c:v>
                </c:pt>
                <c:pt idx="5">
                  <c:v>9.3878590000000001E-3</c:v>
                </c:pt>
                <c:pt idx="6">
                  <c:v>9.8496549999999988E-3</c:v>
                </c:pt>
                <c:pt idx="7">
                  <c:v>1.1799595999999999E-2</c:v>
                </c:pt>
                <c:pt idx="8">
                  <c:v>8.8444859999999986E-3</c:v>
                </c:pt>
                <c:pt idx="9">
                  <c:v>1.1073314999999999E-2</c:v>
                </c:pt>
                <c:pt idx="10">
                  <c:v>1.1661377000000001E-2</c:v>
                </c:pt>
                <c:pt idx="11">
                  <c:v>1.3209746000000003E-2</c:v>
                </c:pt>
                <c:pt idx="12">
                  <c:v>1.0578783E-2</c:v>
                </c:pt>
                <c:pt idx="13">
                  <c:v>1.0086857000000001E-2</c:v>
                </c:pt>
                <c:pt idx="14">
                  <c:v>2.1702294000000004E-2</c:v>
                </c:pt>
                <c:pt idx="15">
                  <c:v>9.8597690000000009E-3</c:v>
                </c:pt>
                <c:pt idx="16">
                  <c:v>1.2184327E-2</c:v>
                </c:pt>
                <c:pt idx="17">
                  <c:v>8.1252449999999997E-3</c:v>
                </c:pt>
                <c:pt idx="18">
                  <c:v>4.7059453000000008E-2</c:v>
                </c:pt>
                <c:pt idx="19">
                  <c:v>1.0807906999999999E-2</c:v>
                </c:pt>
                <c:pt idx="20">
                  <c:v>1.1484666000000001E-2</c:v>
                </c:pt>
                <c:pt idx="21">
                  <c:v>8.7441480000000002E-3</c:v>
                </c:pt>
                <c:pt idx="22">
                  <c:v>8.8903679999999992E-3</c:v>
                </c:pt>
                <c:pt idx="23">
                  <c:v>9.8129210000000022E-3</c:v>
                </c:pt>
                <c:pt idx="24">
                  <c:v>7.8954959999999984E-3</c:v>
                </c:pt>
                <c:pt idx="25">
                  <c:v>8.6157530000000003E-3</c:v>
                </c:pt>
                <c:pt idx="26">
                  <c:v>9.2144189999999997E-3</c:v>
                </c:pt>
                <c:pt idx="27">
                  <c:v>1.2091721999999999E-2</c:v>
                </c:pt>
                <c:pt idx="28">
                  <c:v>1.2788638E-2</c:v>
                </c:pt>
                <c:pt idx="29">
                  <c:v>1.6013478000000001E-2</c:v>
                </c:pt>
                <c:pt idx="30">
                  <c:v>1.0070549E-2</c:v>
                </c:pt>
                <c:pt idx="31">
                  <c:v>1.5531317999999999E-2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1-A74E-B28E-91E935657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011247"/>
        <c:axId val="715197263"/>
      </c:lineChart>
      <c:catAx>
        <c:axId val="4370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5197263"/>
        <c:crosses val="autoZero"/>
        <c:auto val="1"/>
        <c:lblAlgn val="ctr"/>
        <c:lblOffset val="100"/>
        <c:noMultiLvlLbl val="0"/>
      </c:catAx>
      <c:valAx>
        <c:axId val="7151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70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Hoja1!$A$2:$A$33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Hoja1!$AH$2:$AH$33</c:f>
              <c:numCache>
                <c:formatCode>General</c:formatCode>
                <c:ptCount val="32"/>
                <c:pt idx="0">
                  <c:v>0.1163620053</c:v>
                </c:pt>
                <c:pt idx="1">
                  <c:v>0.1980707434</c:v>
                </c:pt>
                <c:pt idx="2">
                  <c:v>0.13042848550000002</c:v>
                </c:pt>
                <c:pt idx="3">
                  <c:v>0.17421710559999998</c:v>
                </c:pt>
                <c:pt idx="4">
                  <c:v>7.9662852899999997E-2</c:v>
                </c:pt>
                <c:pt idx="5">
                  <c:v>9.3566525900000003E-2</c:v>
                </c:pt>
                <c:pt idx="6">
                  <c:v>0.1512010043</c:v>
                </c:pt>
                <c:pt idx="7">
                  <c:v>0.13820161990000002</c:v>
                </c:pt>
                <c:pt idx="8">
                  <c:v>0.13282576739999999</c:v>
                </c:pt>
                <c:pt idx="9">
                  <c:v>9.3001416299999987E-2</c:v>
                </c:pt>
                <c:pt idx="10">
                  <c:v>0.10682915080000002</c:v>
                </c:pt>
                <c:pt idx="11">
                  <c:v>7.7718911299999999E-2</c:v>
                </c:pt>
                <c:pt idx="12">
                  <c:v>7.2703097099999975E-2</c:v>
                </c:pt>
                <c:pt idx="13">
                  <c:v>8.3423714199999985E-2</c:v>
                </c:pt>
                <c:pt idx="14">
                  <c:v>9.4689271800000002E-2</c:v>
                </c:pt>
                <c:pt idx="15">
                  <c:v>6.8118793599999991E-2</c:v>
                </c:pt>
                <c:pt idx="16">
                  <c:v>9.5898097900000007E-2</c:v>
                </c:pt>
                <c:pt idx="17">
                  <c:v>8.5124100499999994E-2</c:v>
                </c:pt>
                <c:pt idx="18">
                  <c:v>0.14100212969999998</c:v>
                </c:pt>
                <c:pt idx="19">
                  <c:v>8.7660583000000028E-2</c:v>
                </c:pt>
                <c:pt idx="20">
                  <c:v>7.6408055099999997E-2</c:v>
                </c:pt>
                <c:pt idx="21">
                  <c:v>0.12170667340000001</c:v>
                </c:pt>
                <c:pt idx="22">
                  <c:v>0.1282482452</c:v>
                </c:pt>
                <c:pt idx="23">
                  <c:v>7.7724202600000014E-2</c:v>
                </c:pt>
                <c:pt idx="24">
                  <c:v>0.11766797599999998</c:v>
                </c:pt>
                <c:pt idx="25">
                  <c:v>0.11569626870000001</c:v>
                </c:pt>
                <c:pt idx="26">
                  <c:v>0.12388701040000001</c:v>
                </c:pt>
                <c:pt idx="27">
                  <c:v>0.1331016089</c:v>
                </c:pt>
                <c:pt idx="28">
                  <c:v>7.4318495900000003E-2</c:v>
                </c:pt>
                <c:pt idx="29">
                  <c:v>8.13998841E-2</c:v>
                </c:pt>
                <c:pt idx="30">
                  <c:v>7.0146512500000008E-2</c:v>
                </c:pt>
                <c:pt idx="31">
                  <c:v>8.4457618299999981E-2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5-B94C-9A6A-EE4C45378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011247"/>
        <c:axId val="715197263"/>
      </c:lineChart>
      <c:catAx>
        <c:axId val="4370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5197263"/>
        <c:crosses val="autoZero"/>
        <c:auto val="1"/>
        <c:lblAlgn val="ctr"/>
        <c:lblOffset val="100"/>
        <c:noMultiLvlLbl val="0"/>
      </c:catAx>
      <c:valAx>
        <c:axId val="7151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70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34</xdr:row>
      <xdr:rowOff>31750</xdr:rowOff>
    </xdr:from>
    <xdr:to>
      <xdr:col>26</xdr:col>
      <xdr:colOff>317500</xdr:colOff>
      <xdr:row>54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70A080-20CD-4D0F-2BA4-27718BA7C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34</xdr:row>
      <xdr:rowOff>0</xdr:rowOff>
    </xdr:from>
    <xdr:to>
      <xdr:col>41</xdr:col>
      <xdr:colOff>88900</xdr:colOff>
      <xdr:row>53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242CE0-3CE3-A14A-A9EB-F9C247909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C445-9075-0249-9E47-76FAF8BCFABC}">
  <dimension ref="A1:AK33"/>
  <sheetViews>
    <sheetView tabSelected="1" topLeftCell="U1" workbookViewId="0">
      <selection activeCell="X1" sqref="X1:AK33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63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64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9" t="s">
        <v>65</v>
      </c>
      <c r="AI1" s="9" t="s">
        <v>66</v>
      </c>
      <c r="AJ1" s="9" t="s">
        <v>67</v>
      </c>
      <c r="AK1" s="9" t="s">
        <v>68</v>
      </c>
    </row>
    <row r="2" spans="1:37" x14ac:dyDescent="0.2">
      <c r="A2" s="4" t="s">
        <v>31</v>
      </c>
      <c r="B2" s="5">
        <v>265.95</v>
      </c>
      <c r="C2" s="5">
        <v>428.22</v>
      </c>
      <c r="D2" s="5">
        <v>816.33</v>
      </c>
      <c r="E2" s="5">
        <v>785.2</v>
      </c>
      <c r="F2" s="5">
        <v>628.39</v>
      </c>
      <c r="G2" s="5">
        <v>503.6</v>
      </c>
      <c r="H2" s="5">
        <v>253.58</v>
      </c>
      <c r="I2" s="5">
        <v>341.39</v>
      </c>
      <c r="J2" s="5">
        <v>662.97</v>
      </c>
      <c r="K2" s="5">
        <v>599.91999999999996</v>
      </c>
      <c r="L2" s="5">
        <f>AVERAGE(B2:K2)</f>
        <v>528.55499999999995</v>
      </c>
      <c r="M2" s="5">
        <v>8.7833900000000003E-3</v>
      </c>
      <c r="N2" s="5">
        <v>1.5994109999999999E-2</v>
      </c>
      <c r="O2" s="5">
        <v>9.8974300000000005E-3</v>
      </c>
      <c r="P2" s="5">
        <v>9.9226200000000001E-3</v>
      </c>
      <c r="Q2" s="5">
        <v>1.209001E-2</v>
      </c>
      <c r="R2" s="5">
        <v>8.0652999999999992E-3</v>
      </c>
      <c r="S2" s="5">
        <v>9.8698599999999994E-3</v>
      </c>
      <c r="T2" s="5">
        <v>6.4626600000000003E-3</v>
      </c>
      <c r="U2" s="5">
        <v>9.0110499999999996E-3</v>
      </c>
      <c r="V2" s="5">
        <v>1.1552959999999999E-2</v>
      </c>
      <c r="W2" s="5">
        <f>AVERAGE(M2:V2)</f>
        <v>1.0164938999999998E-2</v>
      </c>
      <c r="X2">
        <v>0.12686599700000001</v>
      </c>
      <c r="Y2">
        <v>0.11329871</v>
      </c>
      <c r="Z2">
        <v>0.119387112</v>
      </c>
      <c r="AA2">
        <v>0.113872289</v>
      </c>
      <c r="AB2">
        <v>0.11016904600000001</v>
      </c>
      <c r="AC2">
        <v>0.112406857</v>
      </c>
      <c r="AD2">
        <v>0.116160931</v>
      </c>
      <c r="AE2">
        <v>0.118659606</v>
      </c>
      <c r="AF2">
        <v>0.116151693</v>
      </c>
      <c r="AG2">
        <v>0.116647812</v>
      </c>
      <c r="AH2">
        <f>AVERAGE(X2:AG2)</f>
        <v>0.1163620053</v>
      </c>
      <c r="AI2">
        <v>6.6529174999999996E-2</v>
      </c>
      <c r="AJ2">
        <v>6.9682632999999994E-2</v>
      </c>
      <c r="AK2" s="4" t="s">
        <v>46</v>
      </c>
    </row>
    <row r="3" spans="1:37" x14ac:dyDescent="0.2">
      <c r="A3" s="4" t="s">
        <v>32</v>
      </c>
      <c r="B3" s="5">
        <v>671.93</v>
      </c>
      <c r="C3" s="5">
        <v>613.91999999999996</v>
      </c>
      <c r="D3" s="5">
        <v>665.94</v>
      </c>
      <c r="E3" s="5">
        <v>832.42</v>
      </c>
      <c r="F3" s="5">
        <v>940.29</v>
      </c>
      <c r="G3" s="5">
        <v>847.88</v>
      </c>
      <c r="H3" s="5">
        <v>447.36</v>
      </c>
      <c r="I3" s="5">
        <v>530.03</v>
      </c>
      <c r="J3" s="5">
        <v>873.22</v>
      </c>
      <c r="K3" s="5">
        <v>838.05</v>
      </c>
      <c r="L3" s="5">
        <f t="shared" ref="L3:L33" si="0">AVERAGE(B3:K3)</f>
        <v>726.10400000000004</v>
      </c>
      <c r="M3" s="5">
        <v>3.6431800000000002E-3</v>
      </c>
      <c r="N3" s="5">
        <v>1.3193710000000001E-2</v>
      </c>
      <c r="O3" s="5">
        <v>8.8945199999999995E-3</v>
      </c>
      <c r="P3" s="5">
        <v>7.4839199999999998E-3</v>
      </c>
      <c r="Q3" s="5">
        <v>4.3206099999999999E-3</v>
      </c>
      <c r="R3" s="5">
        <v>5.2513780000000003E-2</v>
      </c>
      <c r="S3" s="5">
        <v>6.2804890000000002E-2</v>
      </c>
      <c r="T3" s="5">
        <v>4.6978810000000003E-2</v>
      </c>
      <c r="U3" s="5">
        <v>1.8864909999999999E-2</v>
      </c>
      <c r="V3" s="5">
        <v>5.1826179999999999E-2</v>
      </c>
      <c r="W3" s="5">
        <f t="shared" ref="W3:W33" si="1">AVERAGE(M3:V3)</f>
        <v>2.7052450999999998E-2</v>
      </c>
      <c r="X3" s="6">
        <v>0.19807887099999999</v>
      </c>
      <c r="Y3" s="6">
        <v>0.18391959299999999</v>
      </c>
      <c r="Z3" s="6">
        <v>0.21362165599999999</v>
      </c>
      <c r="AA3" s="6">
        <v>0.18880855299999999</v>
      </c>
      <c r="AB3" s="6">
        <v>0.20209173799999999</v>
      </c>
      <c r="AC3" s="6">
        <v>0.20359753999999999</v>
      </c>
      <c r="AD3" s="6">
        <v>0.19046586800000001</v>
      </c>
      <c r="AE3" s="6">
        <v>0.20703421999999999</v>
      </c>
      <c r="AF3" s="6">
        <v>0.18720890200000001</v>
      </c>
      <c r="AG3" s="6">
        <v>0.205880493</v>
      </c>
      <c r="AH3">
        <f t="shared" ref="AH3:AH33" si="2">AVERAGE(X3:AG3)</f>
        <v>0.1980707434</v>
      </c>
      <c r="AI3">
        <v>6.6759747999999994E-2</v>
      </c>
      <c r="AJ3">
        <v>7.2202103000000004E-2</v>
      </c>
      <c r="AK3" s="4" t="s">
        <v>61</v>
      </c>
    </row>
    <row r="4" spans="1:37" x14ac:dyDescent="0.2">
      <c r="A4" s="4" t="s">
        <v>33</v>
      </c>
      <c r="B4" s="5">
        <v>858.66</v>
      </c>
      <c r="C4" s="5">
        <v>753.87</v>
      </c>
      <c r="D4" s="5">
        <v>926.08</v>
      </c>
      <c r="E4" s="5">
        <v>873.64</v>
      </c>
      <c r="F4" s="5">
        <v>709.85</v>
      </c>
      <c r="G4" s="5">
        <v>731.49</v>
      </c>
      <c r="H4" s="5">
        <v>357.27</v>
      </c>
      <c r="I4" s="5">
        <v>491.93</v>
      </c>
      <c r="J4" s="5">
        <v>1227.47</v>
      </c>
      <c r="K4" s="5">
        <v>856.48</v>
      </c>
      <c r="L4" s="5">
        <f t="shared" si="0"/>
        <v>778.67400000000021</v>
      </c>
      <c r="M4" s="5">
        <v>1.1938799999999999E-2</v>
      </c>
      <c r="N4" s="5">
        <v>7.5086800000000002E-3</v>
      </c>
      <c r="O4" s="5">
        <v>9.1812400000000002E-3</v>
      </c>
      <c r="P4" s="5">
        <v>5.1528900000000002E-3</v>
      </c>
      <c r="Q4" s="5">
        <v>6.2870799999999996E-3</v>
      </c>
      <c r="R4" s="5">
        <v>5.47746E-3</v>
      </c>
      <c r="S4" s="5">
        <v>5.7625899999999997E-3</v>
      </c>
      <c r="T4" s="5">
        <v>2.0066300000000001E-3</v>
      </c>
      <c r="U4" s="5">
        <v>2.7677399999999999E-3</v>
      </c>
      <c r="V4" s="5">
        <v>6.3853800000000004E-3</v>
      </c>
      <c r="W4" s="5">
        <f t="shared" si="1"/>
        <v>6.2468490000000005E-3</v>
      </c>
      <c r="X4">
        <v>0.133805166</v>
      </c>
      <c r="Y4">
        <v>0.13935365199999999</v>
      </c>
      <c r="Z4">
        <v>0.146812055</v>
      </c>
      <c r="AA4">
        <v>0.11475700799999999</v>
      </c>
      <c r="AB4">
        <v>0.12294308900000001</v>
      </c>
      <c r="AC4">
        <v>0.14819926899999999</v>
      </c>
      <c r="AD4">
        <v>0.119317116</v>
      </c>
      <c r="AE4">
        <v>0.13336077700000001</v>
      </c>
      <c r="AF4">
        <v>0.131736612</v>
      </c>
      <c r="AG4">
        <v>0.114000111</v>
      </c>
      <c r="AH4">
        <f t="shared" si="2"/>
        <v>0.13042848550000002</v>
      </c>
      <c r="AI4">
        <v>6.9322831000000001E-2</v>
      </c>
      <c r="AJ4">
        <v>7.5211265999999999E-2</v>
      </c>
      <c r="AK4" s="4" t="s">
        <v>43</v>
      </c>
    </row>
    <row r="5" spans="1:37" x14ac:dyDescent="0.2">
      <c r="A5" s="4" t="s">
        <v>34</v>
      </c>
      <c r="B5" s="5">
        <v>311.7</v>
      </c>
      <c r="C5" s="5">
        <v>570.34</v>
      </c>
      <c r="D5" s="5">
        <v>746.92</v>
      </c>
      <c r="E5" s="5">
        <v>829.69</v>
      </c>
      <c r="F5" s="5">
        <v>651.79999999999995</v>
      </c>
      <c r="G5" s="5">
        <v>567.66</v>
      </c>
      <c r="H5" s="5">
        <v>262.04000000000002</v>
      </c>
      <c r="I5" s="5">
        <v>420.64</v>
      </c>
      <c r="J5" s="5">
        <v>678.46</v>
      </c>
      <c r="K5" s="5">
        <v>631.5</v>
      </c>
      <c r="L5" s="5">
        <f t="shared" si="0"/>
        <v>567.07500000000005</v>
      </c>
      <c r="M5" s="7">
        <v>1.817904E-2</v>
      </c>
      <c r="N5" s="7">
        <v>1.056616E-2</v>
      </c>
      <c r="O5" s="7">
        <v>1.1529019999999999E-2</v>
      </c>
      <c r="P5" s="7">
        <v>8.0850399999999999E-3</v>
      </c>
      <c r="Q5" s="7">
        <v>1.0338959999999999E-2</v>
      </c>
      <c r="R5" s="7">
        <v>1.511769E-2</v>
      </c>
      <c r="S5" s="7">
        <v>8.4413700000000001E-3</v>
      </c>
      <c r="T5" s="7">
        <v>8.1439200000000007E-3</v>
      </c>
      <c r="U5" s="7">
        <v>9.8126900000000006E-3</v>
      </c>
      <c r="V5" s="7">
        <v>9.9586599999999994E-3</v>
      </c>
      <c r="W5" s="5">
        <f t="shared" si="1"/>
        <v>1.1017255E-2</v>
      </c>
      <c r="X5" s="6">
        <v>0.18877809400000001</v>
      </c>
      <c r="Y5" s="6">
        <v>0.18633317599999999</v>
      </c>
      <c r="Z5" s="6">
        <v>0.19447667599999999</v>
      </c>
      <c r="AA5" s="6">
        <v>0.181079715</v>
      </c>
      <c r="AB5" s="6">
        <v>0.16456364800000001</v>
      </c>
      <c r="AC5" s="6">
        <v>0.174267539</v>
      </c>
      <c r="AD5" s="6">
        <v>0.17364749700000001</v>
      </c>
      <c r="AE5" s="6">
        <v>0.159379727</v>
      </c>
      <c r="AF5" s="6">
        <v>0.16643401399999999</v>
      </c>
      <c r="AG5" s="6">
        <v>0.15321097</v>
      </c>
      <c r="AH5">
        <f t="shared" si="2"/>
        <v>0.17421710559999998</v>
      </c>
      <c r="AI5">
        <v>7.0747027000000004E-2</v>
      </c>
      <c r="AJ5">
        <v>7.7131427000000002E-2</v>
      </c>
      <c r="AK5" s="4" t="s">
        <v>59</v>
      </c>
    </row>
    <row r="6" spans="1:37" x14ac:dyDescent="0.2">
      <c r="A6" s="4" t="s">
        <v>35</v>
      </c>
      <c r="B6" s="5">
        <v>207.69</v>
      </c>
      <c r="C6" s="5">
        <v>224.03</v>
      </c>
      <c r="D6" s="5">
        <v>235.84</v>
      </c>
      <c r="E6" s="5">
        <v>240.11</v>
      </c>
      <c r="F6" s="5">
        <v>233.02</v>
      </c>
      <c r="G6" s="5">
        <v>179.57</v>
      </c>
      <c r="H6" s="5">
        <v>114.93</v>
      </c>
      <c r="I6" s="5">
        <v>159.66</v>
      </c>
      <c r="J6" s="5">
        <v>251.46</v>
      </c>
      <c r="K6" s="5">
        <v>256.83999999999997</v>
      </c>
      <c r="L6" s="5">
        <f t="shared" si="0"/>
        <v>210.315</v>
      </c>
      <c r="M6" s="5">
        <v>1.3439670000000001E-2</v>
      </c>
      <c r="N6" s="5">
        <v>1.2174509999999999E-2</v>
      </c>
      <c r="O6" s="5">
        <v>1.150931E-2</v>
      </c>
      <c r="P6" s="5">
        <v>1.155466E-2</v>
      </c>
      <c r="Q6" s="5">
        <v>1.155162E-2</v>
      </c>
      <c r="R6" s="5">
        <v>1.169363E-2</v>
      </c>
      <c r="S6" s="5">
        <v>1.3657590000000001E-2</v>
      </c>
      <c r="T6" s="5">
        <v>2.0237149999999999E-2</v>
      </c>
      <c r="U6" s="5">
        <v>1.4300139999999999E-2</v>
      </c>
      <c r="V6" s="5">
        <v>1.2000510000000001E-2</v>
      </c>
      <c r="W6" s="5">
        <f t="shared" si="1"/>
        <v>1.3211878999999999E-2</v>
      </c>
      <c r="X6">
        <v>8.1406939999999997E-2</v>
      </c>
      <c r="Y6">
        <v>8.1270550999999996E-2</v>
      </c>
      <c r="Z6">
        <v>8.2097435999999996E-2</v>
      </c>
      <c r="AA6">
        <v>7.8326935E-2</v>
      </c>
      <c r="AB6">
        <v>7.6024667000000004E-2</v>
      </c>
      <c r="AC6">
        <v>7.8221587999999995E-2</v>
      </c>
      <c r="AD6">
        <v>7.9279934999999996E-2</v>
      </c>
      <c r="AE6">
        <v>8.2834783999999995E-2</v>
      </c>
      <c r="AF6">
        <v>7.8871501999999996E-2</v>
      </c>
      <c r="AG6">
        <v>7.8294190999999999E-2</v>
      </c>
      <c r="AH6">
        <f t="shared" si="2"/>
        <v>7.9662852899999997E-2</v>
      </c>
      <c r="AI6">
        <v>7.2451907999999995E-2</v>
      </c>
      <c r="AJ6">
        <v>8.4132705000000002E-2</v>
      </c>
      <c r="AK6" s="4" t="s">
        <v>54</v>
      </c>
    </row>
    <row r="7" spans="1:37" x14ac:dyDescent="0.2">
      <c r="A7" s="4" t="s">
        <v>36</v>
      </c>
      <c r="B7" s="5">
        <v>558.51</v>
      </c>
      <c r="C7" s="5">
        <v>376.19</v>
      </c>
      <c r="D7" s="5">
        <v>490.59</v>
      </c>
      <c r="E7" s="5">
        <v>795.92</v>
      </c>
      <c r="F7" s="5">
        <v>862.29</v>
      </c>
      <c r="G7" s="5">
        <v>892.43</v>
      </c>
      <c r="H7" s="5">
        <v>465.21</v>
      </c>
      <c r="I7" s="5">
        <v>615.05999999999995</v>
      </c>
      <c r="J7" s="5">
        <v>756.57</v>
      </c>
      <c r="K7" s="5">
        <v>772.59</v>
      </c>
      <c r="L7" s="5">
        <f t="shared" si="0"/>
        <v>658.53599999999983</v>
      </c>
      <c r="M7" s="5">
        <v>1.4793270000000001E-2</v>
      </c>
      <c r="N7" s="5">
        <v>1.00462E-2</v>
      </c>
      <c r="O7" s="5">
        <v>9.7946500000000002E-3</v>
      </c>
      <c r="P7" s="5">
        <v>1.1005630000000001E-2</v>
      </c>
      <c r="Q7" s="5">
        <v>9.79031E-3</v>
      </c>
      <c r="R7" s="5">
        <v>8.1360100000000008E-3</v>
      </c>
      <c r="S7" s="5">
        <v>7.7615999999999996E-3</v>
      </c>
      <c r="T7" s="5">
        <v>7.6734100000000003E-3</v>
      </c>
      <c r="U7" s="5">
        <v>7.5871100000000002E-3</v>
      </c>
      <c r="V7" s="5">
        <v>7.2903999999999998E-3</v>
      </c>
      <c r="W7" s="5">
        <f t="shared" si="1"/>
        <v>9.3878590000000001E-3</v>
      </c>
      <c r="X7">
        <v>9.7768499999999994E-2</v>
      </c>
      <c r="Y7">
        <v>9.1945431999999994E-2</v>
      </c>
      <c r="Z7">
        <v>9.3880271000000001E-2</v>
      </c>
      <c r="AA7">
        <v>8.9037656000000007E-2</v>
      </c>
      <c r="AB7">
        <v>9.3417641999999995E-2</v>
      </c>
      <c r="AC7">
        <v>9.4900752000000005E-2</v>
      </c>
      <c r="AD7">
        <v>9.3417170999999993E-2</v>
      </c>
      <c r="AE7">
        <v>9.3396379000000002E-2</v>
      </c>
      <c r="AF7">
        <v>9.0471444999999998E-2</v>
      </c>
      <c r="AG7">
        <v>9.7430010999999997E-2</v>
      </c>
      <c r="AH7">
        <f t="shared" si="2"/>
        <v>9.3566525900000003E-2</v>
      </c>
      <c r="AI7">
        <v>7.3886587000000004E-2</v>
      </c>
      <c r="AJ7">
        <v>7.8564903000000005E-2</v>
      </c>
      <c r="AK7" s="4" t="s">
        <v>51</v>
      </c>
    </row>
    <row r="8" spans="1:37" x14ac:dyDescent="0.2">
      <c r="A8" s="4" t="s">
        <v>37</v>
      </c>
      <c r="B8" s="5">
        <v>328.99</v>
      </c>
      <c r="C8" s="5">
        <v>572.55999999999995</v>
      </c>
      <c r="D8" s="5">
        <v>720.39</v>
      </c>
      <c r="E8" s="5">
        <v>935.84</v>
      </c>
      <c r="F8" s="5">
        <v>819.9</v>
      </c>
      <c r="G8" s="5">
        <v>840.97</v>
      </c>
      <c r="H8" s="5">
        <v>419.14</v>
      </c>
      <c r="I8" s="5">
        <v>495.91</v>
      </c>
      <c r="J8" s="5">
        <v>860.97</v>
      </c>
      <c r="K8" s="5">
        <v>879.2</v>
      </c>
      <c r="L8" s="5">
        <f t="shared" si="0"/>
        <v>687.38700000000006</v>
      </c>
      <c r="M8" s="5">
        <v>1.1745210000000001E-2</v>
      </c>
      <c r="N8" s="5">
        <v>1.4379889999999999E-2</v>
      </c>
      <c r="O8" s="5">
        <v>7.6853099999999999E-3</v>
      </c>
      <c r="P8" s="5">
        <v>8.9150299999999991E-3</v>
      </c>
      <c r="Q8" s="5">
        <v>1.236256E-2</v>
      </c>
      <c r="R8" s="5">
        <v>1.061956E-2</v>
      </c>
      <c r="S8" s="5">
        <v>8.3964699999999996E-3</v>
      </c>
      <c r="T8" s="5">
        <v>8.9455300000000001E-3</v>
      </c>
      <c r="U8" s="5">
        <v>7.2565800000000003E-3</v>
      </c>
      <c r="V8" s="5">
        <v>8.1904100000000004E-3</v>
      </c>
      <c r="W8" s="5">
        <f t="shared" si="1"/>
        <v>9.8496549999999988E-3</v>
      </c>
      <c r="X8" s="6">
        <v>0.14054030000000001</v>
      </c>
      <c r="Y8" s="6">
        <v>0.15394845099999999</v>
      </c>
      <c r="Z8" s="6">
        <v>0.158278435</v>
      </c>
      <c r="AA8" s="6">
        <v>0.14809835399999999</v>
      </c>
      <c r="AB8" s="6">
        <v>0.15631367099999999</v>
      </c>
      <c r="AC8" s="6">
        <v>0.154700698</v>
      </c>
      <c r="AD8" s="6">
        <v>0.132079575</v>
      </c>
      <c r="AE8" s="6">
        <v>0.14183801200000001</v>
      </c>
      <c r="AF8" s="6">
        <v>0.16857847000000001</v>
      </c>
      <c r="AG8" s="6">
        <v>0.15763407700000001</v>
      </c>
      <c r="AH8">
        <f t="shared" si="2"/>
        <v>0.1512010043</v>
      </c>
      <c r="AI8">
        <v>7.3921047000000004E-2</v>
      </c>
      <c r="AJ8">
        <v>8.0480024999999997E-2</v>
      </c>
      <c r="AK8" s="4" t="s">
        <v>42</v>
      </c>
    </row>
    <row r="9" spans="1:37" x14ac:dyDescent="0.2">
      <c r="A9" s="4" t="s">
        <v>38</v>
      </c>
      <c r="B9" s="5">
        <v>555.54</v>
      </c>
      <c r="C9" s="5">
        <v>243.46</v>
      </c>
      <c r="D9" s="5">
        <v>259.5</v>
      </c>
      <c r="E9" s="5">
        <v>507.57</v>
      </c>
      <c r="F9" s="5">
        <v>287.61</v>
      </c>
      <c r="G9" s="5">
        <v>528.4</v>
      </c>
      <c r="H9" s="5">
        <v>260.60000000000002</v>
      </c>
      <c r="I9" s="5">
        <v>430.14</v>
      </c>
      <c r="J9" s="5">
        <v>758.35</v>
      </c>
      <c r="K9" s="5">
        <v>632.21</v>
      </c>
      <c r="L9" s="5">
        <f t="shared" si="0"/>
        <v>446.33799999999991</v>
      </c>
      <c r="M9" s="5">
        <v>1.5418680000000001E-2</v>
      </c>
      <c r="N9" s="5">
        <v>9.9302899999999996E-3</v>
      </c>
      <c r="O9" s="5">
        <v>8.2325100000000002E-3</v>
      </c>
      <c r="P9" s="5">
        <v>1.126956E-2</v>
      </c>
      <c r="Q9" s="5">
        <v>1.2223639999999999E-2</v>
      </c>
      <c r="R9" s="5">
        <v>1.2714430000000001E-2</v>
      </c>
      <c r="S9" s="5">
        <v>1.447409E-2</v>
      </c>
      <c r="T9" s="5">
        <v>1.264902E-2</v>
      </c>
      <c r="U9" s="5">
        <v>1.26827E-2</v>
      </c>
      <c r="V9" s="5">
        <v>8.4010400000000002E-3</v>
      </c>
      <c r="W9" s="5">
        <f t="shared" si="1"/>
        <v>1.1799595999999999E-2</v>
      </c>
      <c r="X9" s="6">
        <v>0.141193914</v>
      </c>
      <c r="Y9" s="6">
        <v>0.137588925</v>
      </c>
      <c r="Z9" s="6">
        <v>0.13040907900000001</v>
      </c>
      <c r="AA9" s="6">
        <v>0.13937959999999999</v>
      </c>
      <c r="AB9" s="6">
        <v>0.14059163499999999</v>
      </c>
      <c r="AC9" s="6">
        <v>0.13936278399999999</v>
      </c>
      <c r="AD9" s="6">
        <v>0.13760234499999999</v>
      </c>
      <c r="AE9" s="6">
        <v>0.14403101300000001</v>
      </c>
      <c r="AF9" s="6">
        <v>0.136220601</v>
      </c>
      <c r="AG9" s="6">
        <v>0.13563630300000001</v>
      </c>
      <c r="AH9">
        <f t="shared" si="2"/>
        <v>0.13820161990000002</v>
      </c>
      <c r="AI9">
        <v>7.6024667000000004E-2</v>
      </c>
      <c r="AJ9">
        <v>8.2834783999999995E-2</v>
      </c>
      <c r="AK9" s="4" t="s">
        <v>35</v>
      </c>
    </row>
    <row r="10" spans="1:37" x14ac:dyDescent="0.2">
      <c r="A10" s="4" t="s">
        <v>39</v>
      </c>
      <c r="B10" s="5">
        <v>733.49</v>
      </c>
      <c r="C10" s="5">
        <v>682.56</v>
      </c>
      <c r="D10" s="5">
        <v>679.47</v>
      </c>
      <c r="E10" s="5">
        <v>807.17</v>
      </c>
      <c r="F10" s="5">
        <v>875.01</v>
      </c>
      <c r="G10" s="5">
        <v>885.56</v>
      </c>
      <c r="H10" s="5">
        <v>474.81</v>
      </c>
      <c r="I10" s="5">
        <v>660.27</v>
      </c>
      <c r="J10" s="5">
        <v>1035.7</v>
      </c>
      <c r="K10" s="5">
        <v>1062.29</v>
      </c>
      <c r="L10" s="5">
        <f t="shared" si="0"/>
        <v>789.63300000000004</v>
      </c>
      <c r="M10" s="5">
        <v>1.0533229999999999E-2</v>
      </c>
      <c r="N10" s="5">
        <v>1.119973E-2</v>
      </c>
      <c r="O10" s="5">
        <v>1.2071480000000001E-2</v>
      </c>
      <c r="P10" s="5">
        <v>6.06224E-3</v>
      </c>
      <c r="Q10" s="5">
        <v>9.3062800000000001E-3</v>
      </c>
      <c r="R10" s="5">
        <v>6.8098200000000003E-3</v>
      </c>
      <c r="S10" s="5">
        <v>9.8999299999999995E-3</v>
      </c>
      <c r="T10" s="5">
        <v>6.8579399999999999E-3</v>
      </c>
      <c r="U10" s="5">
        <v>6.5413499999999996E-3</v>
      </c>
      <c r="V10" s="5">
        <v>9.1628600000000001E-3</v>
      </c>
      <c r="W10" s="5">
        <f t="shared" si="1"/>
        <v>8.8444859999999986E-3</v>
      </c>
      <c r="X10">
        <v>0.12931182699999999</v>
      </c>
      <c r="Y10">
        <v>0.13301764699999999</v>
      </c>
      <c r="Z10">
        <v>0.13065146</v>
      </c>
      <c r="AA10">
        <v>0.140353229</v>
      </c>
      <c r="AB10">
        <v>0.131738299</v>
      </c>
      <c r="AC10">
        <v>0.13898439800000001</v>
      </c>
      <c r="AD10">
        <v>0.12377946500000001</v>
      </c>
      <c r="AE10">
        <v>0.13386388499999999</v>
      </c>
      <c r="AF10">
        <v>0.124118756</v>
      </c>
      <c r="AG10">
        <v>0.142438708</v>
      </c>
      <c r="AH10">
        <f t="shared" si="2"/>
        <v>0.13282576739999999</v>
      </c>
      <c r="AI10">
        <v>7.8188855000000002E-2</v>
      </c>
      <c r="AJ10">
        <v>0.100841546</v>
      </c>
      <c r="AK10" s="4" t="s">
        <v>48</v>
      </c>
    </row>
    <row r="11" spans="1:37" x14ac:dyDescent="0.2">
      <c r="A11" s="4" t="s">
        <v>40</v>
      </c>
      <c r="B11" s="5">
        <v>143.35</v>
      </c>
      <c r="C11" s="5">
        <v>467.49</v>
      </c>
      <c r="D11" s="5">
        <v>429.69</v>
      </c>
      <c r="E11" s="5">
        <v>436.78</v>
      </c>
      <c r="F11" s="5">
        <v>444.01</v>
      </c>
      <c r="G11" s="5">
        <v>391.7</v>
      </c>
      <c r="H11" s="5">
        <v>236.7</v>
      </c>
      <c r="I11" s="5">
        <v>299.42</v>
      </c>
      <c r="J11" s="5">
        <v>626.41999999999996</v>
      </c>
      <c r="K11" s="5">
        <v>661.41</v>
      </c>
      <c r="L11" s="5">
        <f t="shared" si="0"/>
        <v>413.697</v>
      </c>
      <c r="M11" s="5">
        <v>1.365385E-2</v>
      </c>
      <c r="N11" s="5">
        <v>1.310033E-2</v>
      </c>
      <c r="O11" s="5">
        <v>1.0889970000000001E-2</v>
      </c>
      <c r="P11" s="5">
        <v>1.2088659999999999E-2</v>
      </c>
      <c r="Q11" s="5">
        <v>1.356225E-2</v>
      </c>
      <c r="R11" s="5">
        <v>1.302963E-2</v>
      </c>
      <c r="S11" s="5">
        <v>1.0132240000000001E-2</v>
      </c>
      <c r="T11" s="5">
        <v>8.5826500000000007E-3</v>
      </c>
      <c r="U11" s="5">
        <v>8.1290300000000006E-3</v>
      </c>
      <c r="V11" s="5">
        <v>7.5645399999999998E-3</v>
      </c>
      <c r="W11" s="5">
        <f t="shared" si="1"/>
        <v>1.1073314999999999E-2</v>
      </c>
      <c r="X11">
        <v>9.8894503999999994E-2</v>
      </c>
      <c r="Y11">
        <v>9.3469747000000006E-2</v>
      </c>
      <c r="Z11">
        <v>9.0643462999999994E-2</v>
      </c>
      <c r="AA11">
        <v>9.0914043999999999E-2</v>
      </c>
      <c r="AB11">
        <v>9.6258134999999995E-2</v>
      </c>
      <c r="AC11">
        <v>9.6889343000000003E-2</v>
      </c>
      <c r="AD11">
        <v>9.0785632000000005E-2</v>
      </c>
      <c r="AE11">
        <v>8.8317577999999994E-2</v>
      </c>
      <c r="AF11">
        <v>8.9054816999999994E-2</v>
      </c>
      <c r="AG11">
        <v>9.4786899999999993E-2</v>
      </c>
      <c r="AH11">
        <f t="shared" si="2"/>
        <v>9.3001416299999987E-2</v>
      </c>
      <c r="AI11">
        <v>7.9682117999999996E-2</v>
      </c>
      <c r="AJ11">
        <v>8.3804723999999997E-2</v>
      </c>
      <c r="AK11" s="4" t="s">
        <v>60</v>
      </c>
    </row>
    <row r="12" spans="1:37" x14ac:dyDescent="0.2">
      <c r="A12" s="4" t="s">
        <v>41</v>
      </c>
      <c r="B12" s="5">
        <v>10.23</v>
      </c>
      <c r="C12" s="5">
        <v>56.88</v>
      </c>
      <c r="D12" s="5">
        <v>149.97999999999999</v>
      </c>
      <c r="E12" s="5">
        <v>259.83</v>
      </c>
      <c r="F12" s="5">
        <v>300.82</v>
      </c>
      <c r="G12" s="5">
        <v>280.98</v>
      </c>
      <c r="H12" s="5">
        <v>181.5</v>
      </c>
      <c r="I12" s="5">
        <v>223.59</v>
      </c>
      <c r="J12" s="5">
        <v>483.18</v>
      </c>
      <c r="K12" s="5">
        <v>405.82</v>
      </c>
      <c r="L12" s="5">
        <f t="shared" si="0"/>
        <v>235.28100000000001</v>
      </c>
      <c r="M12" s="5">
        <v>1.4828630000000001E-2</v>
      </c>
      <c r="N12" s="5">
        <v>1.490549E-2</v>
      </c>
      <c r="O12" s="5">
        <v>1.0029160000000001E-2</v>
      </c>
      <c r="P12" s="5">
        <v>1.408158E-2</v>
      </c>
      <c r="Q12" s="5">
        <v>1.2758439999999999E-2</v>
      </c>
      <c r="R12" s="5">
        <v>9.5483200000000008E-3</v>
      </c>
      <c r="S12" s="5">
        <v>1.063885E-2</v>
      </c>
      <c r="T12" s="5">
        <v>8.6069800000000002E-3</v>
      </c>
      <c r="U12" s="5">
        <v>1.133059E-2</v>
      </c>
      <c r="V12" s="5">
        <v>9.8857300000000006E-3</v>
      </c>
      <c r="W12" s="5">
        <f t="shared" si="1"/>
        <v>1.1661377000000001E-2</v>
      </c>
      <c r="X12">
        <v>0.10776435500000001</v>
      </c>
      <c r="Y12">
        <v>0.10654269299999999</v>
      </c>
      <c r="Z12">
        <v>0.10580838400000001</v>
      </c>
      <c r="AA12">
        <v>0.11117196</v>
      </c>
      <c r="AB12">
        <v>0.110221924</v>
      </c>
      <c r="AC12">
        <v>0.10572342</v>
      </c>
      <c r="AD12">
        <v>0.103728559</v>
      </c>
      <c r="AE12">
        <v>0.105706283</v>
      </c>
      <c r="AF12">
        <v>0.103806967</v>
      </c>
      <c r="AG12">
        <v>0.107816963</v>
      </c>
      <c r="AH12">
        <f t="shared" si="2"/>
        <v>0.10682915080000002</v>
      </c>
      <c r="AI12">
        <v>8.0407991999999998E-2</v>
      </c>
      <c r="AJ12">
        <v>8.8385980000000003E-2</v>
      </c>
      <c r="AK12" s="4" t="s">
        <v>62</v>
      </c>
    </row>
    <row r="13" spans="1:37" x14ac:dyDescent="0.2">
      <c r="A13" s="4" t="s">
        <v>42</v>
      </c>
      <c r="B13" s="5">
        <v>122.11</v>
      </c>
      <c r="C13" s="5">
        <v>276.83999999999997</v>
      </c>
      <c r="D13" s="5">
        <v>321.16000000000003</v>
      </c>
      <c r="E13" s="5">
        <v>423.37</v>
      </c>
      <c r="F13" s="5">
        <v>376.75</v>
      </c>
      <c r="G13" s="5">
        <v>377.36</v>
      </c>
      <c r="H13" s="5">
        <v>229.42</v>
      </c>
      <c r="I13" s="5">
        <v>263.29000000000002</v>
      </c>
      <c r="J13" s="5">
        <v>535.6</v>
      </c>
      <c r="K13" s="5">
        <v>519.98</v>
      </c>
      <c r="L13" s="5">
        <f t="shared" si="0"/>
        <v>344.58800000000002</v>
      </c>
      <c r="M13" s="7">
        <v>1.7809800000000001E-2</v>
      </c>
      <c r="N13" s="7">
        <v>1.364275E-2</v>
      </c>
      <c r="O13" s="7">
        <v>1.3818860000000001E-2</v>
      </c>
      <c r="P13" s="7">
        <v>1.544071E-2</v>
      </c>
      <c r="Q13" s="7">
        <v>1.217095E-2</v>
      </c>
      <c r="R13" s="7">
        <v>1.5413970000000001E-2</v>
      </c>
      <c r="S13" s="7">
        <v>1.2098289999999999E-2</v>
      </c>
      <c r="T13" s="7">
        <v>1.2001960000000001E-2</v>
      </c>
      <c r="U13" s="7">
        <v>9.9091500000000002E-3</v>
      </c>
      <c r="V13" s="7">
        <v>9.7910199999999992E-3</v>
      </c>
      <c r="W13" s="5">
        <f t="shared" si="1"/>
        <v>1.3209746000000003E-2</v>
      </c>
      <c r="X13">
        <v>7.9034071999999997E-2</v>
      </c>
      <c r="Y13">
        <v>8.0435057000000004E-2</v>
      </c>
      <c r="Z13">
        <v>7.7832164999999995E-2</v>
      </c>
      <c r="AA13">
        <v>7.7746423999999995E-2</v>
      </c>
      <c r="AB13">
        <v>8.0480024999999997E-2</v>
      </c>
      <c r="AC13">
        <v>7.8684538999999998E-2</v>
      </c>
      <c r="AD13">
        <v>7.3921047000000004E-2</v>
      </c>
      <c r="AE13">
        <v>7.7260743000000007E-2</v>
      </c>
      <c r="AF13">
        <v>7.4693421999999995E-2</v>
      </c>
      <c r="AG13">
        <v>7.7101618999999996E-2</v>
      </c>
      <c r="AH13">
        <f t="shared" si="2"/>
        <v>7.7718911299999999E-2</v>
      </c>
      <c r="AI13">
        <v>8.0811589000000003E-2</v>
      </c>
      <c r="AJ13">
        <v>8.5769588999999993E-2</v>
      </c>
      <c r="AK13" s="4" t="s">
        <v>44</v>
      </c>
    </row>
    <row r="14" spans="1:37" x14ac:dyDescent="0.2">
      <c r="A14" s="4" t="s">
        <v>43</v>
      </c>
      <c r="B14" s="5">
        <v>490.75</v>
      </c>
      <c r="C14" s="5">
        <v>503.2</v>
      </c>
      <c r="D14" s="5">
        <v>567.79999999999995</v>
      </c>
      <c r="E14" s="5">
        <v>559.48</v>
      </c>
      <c r="F14" s="5">
        <v>564.52</v>
      </c>
      <c r="G14" s="5">
        <v>542.82000000000005</v>
      </c>
      <c r="H14" s="5">
        <v>345.32</v>
      </c>
      <c r="I14" s="5">
        <v>437.12</v>
      </c>
      <c r="J14" s="5">
        <v>528.84</v>
      </c>
      <c r="K14" s="5">
        <v>357</v>
      </c>
      <c r="L14" s="5">
        <f t="shared" si="0"/>
        <v>489.68500000000006</v>
      </c>
      <c r="M14" s="5">
        <v>1.4170820000000001E-2</v>
      </c>
      <c r="N14" s="5">
        <v>1.1872290000000001E-2</v>
      </c>
      <c r="O14" s="5">
        <v>9.9019699999999995E-3</v>
      </c>
      <c r="P14" s="5">
        <v>9.7059599999999996E-3</v>
      </c>
      <c r="Q14" s="5">
        <v>1.180696E-2</v>
      </c>
      <c r="R14" s="5">
        <v>1.00698E-2</v>
      </c>
      <c r="S14" s="5">
        <v>1.085377E-2</v>
      </c>
      <c r="T14" s="5">
        <v>1.0400609999999999E-2</v>
      </c>
      <c r="U14" s="5">
        <v>8.0168099999999992E-3</v>
      </c>
      <c r="V14" s="5">
        <v>8.9888399999999997E-3</v>
      </c>
      <c r="W14" s="5">
        <f t="shared" si="1"/>
        <v>1.0578783E-2</v>
      </c>
      <c r="X14">
        <v>7.4466492999999995E-2</v>
      </c>
      <c r="Y14">
        <v>7.1699732000000002E-2</v>
      </c>
      <c r="Z14">
        <v>6.9322831000000001E-2</v>
      </c>
      <c r="AA14">
        <v>7.3121040999999998E-2</v>
      </c>
      <c r="AB14">
        <v>7.5211265999999999E-2</v>
      </c>
      <c r="AC14">
        <v>7.2477430999999995E-2</v>
      </c>
      <c r="AD14">
        <v>7.1067617E-2</v>
      </c>
      <c r="AE14">
        <v>7.4620496999999994E-2</v>
      </c>
      <c r="AF14">
        <v>7.2456188000000005E-2</v>
      </c>
      <c r="AG14">
        <v>7.2587874999999996E-2</v>
      </c>
      <c r="AH14">
        <f t="shared" si="2"/>
        <v>7.2703097099999975E-2</v>
      </c>
      <c r="AI14">
        <v>8.4314811000000003E-2</v>
      </c>
      <c r="AJ14">
        <v>9.0343381E-2</v>
      </c>
      <c r="AK14" s="4" t="s">
        <v>50</v>
      </c>
    </row>
    <row r="15" spans="1:37" x14ac:dyDescent="0.2">
      <c r="A15" s="4" t="s">
        <v>44</v>
      </c>
      <c r="B15" s="5">
        <v>201.34</v>
      </c>
      <c r="C15" s="5">
        <v>453.86</v>
      </c>
      <c r="D15" s="5">
        <v>506.98</v>
      </c>
      <c r="E15" s="5">
        <v>650.01</v>
      </c>
      <c r="F15" s="5">
        <v>614.71</v>
      </c>
      <c r="G15" s="5">
        <v>552.1</v>
      </c>
      <c r="H15" s="5">
        <v>326.98</v>
      </c>
      <c r="I15" s="5">
        <v>507.44</v>
      </c>
      <c r="J15" s="5">
        <v>897.03</v>
      </c>
      <c r="K15" s="5">
        <v>818.03</v>
      </c>
      <c r="L15" s="5">
        <f t="shared" si="0"/>
        <v>552.84799999999996</v>
      </c>
      <c r="M15" s="5">
        <v>1.3693149999999999E-2</v>
      </c>
      <c r="N15" s="5">
        <v>1.017119E-2</v>
      </c>
      <c r="O15" s="5">
        <v>8.7318599999999993E-3</v>
      </c>
      <c r="P15" s="5">
        <v>1.097245E-2</v>
      </c>
      <c r="Q15" s="5">
        <v>1.0709440000000001E-2</v>
      </c>
      <c r="R15" s="5">
        <v>1.003071E-2</v>
      </c>
      <c r="S15" s="5">
        <v>9.6062400000000003E-3</v>
      </c>
      <c r="T15" s="5">
        <v>8.6669299999999998E-3</v>
      </c>
      <c r="U15" s="5">
        <v>1.0469269999999999E-2</v>
      </c>
      <c r="V15" s="5">
        <v>7.8173300000000008E-3</v>
      </c>
      <c r="W15" s="5">
        <f t="shared" si="1"/>
        <v>1.0086857000000001E-2</v>
      </c>
      <c r="X15">
        <v>8.5167904000000003E-2</v>
      </c>
      <c r="Y15">
        <v>8.4093360000000006E-2</v>
      </c>
      <c r="Z15">
        <v>8.2193843000000003E-2</v>
      </c>
      <c r="AA15">
        <v>8.2352135000000007E-2</v>
      </c>
      <c r="AB15">
        <v>8.4127286999999995E-2</v>
      </c>
      <c r="AC15">
        <v>8.2966605999999998E-2</v>
      </c>
      <c r="AD15">
        <v>8.1132738999999995E-2</v>
      </c>
      <c r="AE15">
        <v>8.5769588999999993E-2</v>
      </c>
      <c r="AF15">
        <v>8.0811589000000003E-2</v>
      </c>
      <c r="AG15">
        <v>8.5622089999999998E-2</v>
      </c>
      <c r="AH15">
        <f t="shared" si="2"/>
        <v>8.3423714199999985E-2</v>
      </c>
      <c r="AI15">
        <v>8.8284915000000005E-2</v>
      </c>
      <c r="AJ15">
        <v>0.10222727500000001</v>
      </c>
      <c r="AK15" s="4" t="s">
        <v>47</v>
      </c>
    </row>
    <row r="16" spans="1:37" x14ac:dyDescent="0.2">
      <c r="A16" s="4" t="s">
        <v>45</v>
      </c>
      <c r="B16" s="5">
        <v>281.3</v>
      </c>
      <c r="C16" s="5">
        <v>322.47000000000003</v>
      </c>
      <c r="D16" s="5">
        <v>368.7</v>
      </c>
      <c r="E16" s="5">
        <v>398.68</v>
      </c>
      <c r="F16" s="5">
        <v>421.68</v>
      </c>
      <c r="G16" s="5">
        <v>401.03</v>
      </c>
      <c r="H16" s="5">
        <v>216.3</v>
      </c>
      <c r="I16" s="5">
        <v>298.99</v>
      </c>
      <c r="J16" s="5">
        <v>473.29</v>
      </c>
      <c r="K16" s="5">
        <v>531.55999999999995</v>
      </c>
      <c r="L16" s="5">
        <f t="shared" si="0"/>
        <v>371.40000000000003</v>
      </c>
      <c r="M16" s="7">
        <v>2.2412399999999999E-2</v>
      </c>
      <c r="N16" s="7">
        <v>1.623844E-2</v>
      </c>
      <c r="O16" s="7">
        <v>1.9905579999999999E-2</v>
      </c>
      <c r="P16" s="7">
        <v>2.6400420000000001E-2</v>
      </c>
      <c r="Q16" s="7">
        <v>3.2384820000000002E-2</v>
      </c>
      <c r="R16" s="7">
        <v>2.0565279999999998E-2</v>
      </c>
      <c r="S16" s="7">
        <v>2.3329280000000001E-2</v>
      </c>
      <c r="T16" s="7">
        <v>1.534978E-2</v>
      </c>
      <c r="U16" s="7">
        <v>2.5247329999999998E-2</v>
      </c>
      <c r="V16" s="7">
        <v>1.5189609999999999E-2</v>
      </c>
      <c r="W16" s="5">
        <f t="shared" si="1"/>
        <v>2.1702294000000004E-2</v>
      </c>
      <c r="X16">
        <v>9.2066920999999996E-2</v>
      </c>
      <c r="Y16">
        <v>9.4524266999999995E-2</v>
      </c>
      <c r="Z16">
        <v>9.4002402999999998E-2</v>
      </c>
      <c r="AA16">
        <v>9.5363727999999995E-2</v>
      </c>
      <c r="AB16">
        <v>9.5861940000000007E-2</v>
      </c>
      <c r="AC16">
        <v>9.5949494999999996E-2</v>
      </c>
      <c r="AD16">
        <v>9.4445588999999996E-2</v>
      </c>
      <c r="AE16">
        <v>9.6500791000000002E-2</v>
      </c>
      <c r="AF16">
        <v>9.3009656999999996E-2</v>
      </c>
      <c r="AG16">
        <v>9.5167926999999999E-2</v>
      </c>
      <c r="AH16">
        <f t="shared" si="2"/>
        <v>9.4689271800000002E-2</v>
      </c>
      <c r="AI16">
        <v>8.8317577999999994E-2</v>
      </c>
      <c r="AJ16">
        <v>9.8894503999999994E-2</v>
      </c>
      <c r="AK16" s="4" t="s">
        <v>40</v>
      </c>
    </row>
    <row r="17" spans="1:37" x14ac:dyDescent="0.2">
      <c r="A17" s="4" t="s">
        <v>46</v>
      </c>
      <c r="B17" s="5">
        <v>262.63</v>
      </c>
      <c r="C17" s="5">
        <v>323.45999999999998</v>
      </c>
      <c r="D17" s="5">
        <v>331.1</v>
      </c>
      <c r="E17" s="5">
        <v>454.54</v>
      </c>
      <c r="F17" s="5">
        <v>531.80999999999995</v>
      </c>
      <c r="G17" s="5">
        <v>455.11</v>
      </c>
      <c r="H17" s="5">
        <v>278.83999999999997</v>
      </c>
      <c r="I17" s="5">
        <v>262.98</v>
      </c>
      <c r="J17" s="5">
        <v>446.32</v>
      </c>
      <c r="K17" s="5">
        <v>316.3</v>
      </c>
      <c r="L17" s="5">
        <f t="shared" si="0"/>
        <v>366.30900000000008</v>
      </c>
      <c r="M17" s="5">
        <v>1.1013459999999999E-2</v>
      </c>
      <c r="N17" s="5">
        <v>1.164068E-2</v>
      </c>
      <c r="O17" s="5">
        <v>1.050748E-2</v>
      </c>
      <c r="P17" s="5">
        <v>1.073139E-2</v>
      </c>
      <c r="Q17" s="5">
        <v>9.8616599999999995E-3</v>
      </c>
      <c r="R17" s="5">
        <v>9.3172700000000008E-3</v>
      </c>
      <c r="S17" s="5">
        <v>9.7703800000000004E-3</v>
      </c>
      <c r="T17" s="5">
        <v>8.3026999999999997E-3</v>
      </c>
      <c r="U17" s="5">
        <v>9.9442300000000001E-3</v>
      </c>
      <c r="V17" s="5">
        <v>7.5084399999999999E-3</v>
      </c>
      <c r="W17" s="5">
        <f t="shared" si="1"/>
        <v>9.8597690000000009E-3</v>
      </c>
      <c r="X17">
        <v>6.9095691000000001E-2</v>
      </c>
      <c r="Y17">
        <v>6.8106951999999998E-2</v>
      </c>
      <c r="Z17">
        <v>6.9275354999999997E-2</v>
      </c>
      <c r="AA17">
        <v>6.7084815000000006E-2</v>
      </c>
      <c r="AB17">
        <v>6.7979693999999993E-2</v>
      </c>
      <c r="AC17">
        <v>6.6659236999999996E-2</v>
      </c>
      <c r="AD17">
        <v>6.8158801000000005E-2</v>
      </c>
      <c r="AE17">
        <v>6.9682632999999994E-2</v>
      </c>
      <c r="AF17">
        <v>6.6529174999999996E-2</v>
      </c>
      <c r="AG17">
        <v>6.8615582999999994E-2</v>
      </c>
      <c r="AH17">
        <f t="shared" si="2"/>
        <v>6.8118793599999991E-2</v>
      </c>
      <c r="AI17">
        <v>8.9037656000000007E-2</v>
      </c>
      <c r="AJ17">
        <v>9.7768499999999994E-2</v>
      </c>
      <c r="AK17" s="4" t="s">
        <v>36</v>
      </c>
    </row>
    <row r="18" spans="1:37" x14ac:dyDescent="0.2">
      <c r="A18" s="4" t="s">
        <v>47</v>
      </c>
      <c r="B18" s="5">
        <v>452.09</v>
      </c>
      <c r="C18" s="5">
        <v>425.86</v>
      </c>
      <c r="D18" s="5">
        <v>453.93</v>
      </c>
      <c r="E18" s="5">
        <v>443.1</v>
      </c>
      <c r="F18" s="5">
        <v>493.67</v>
      </c>
      <c r="G18" s="5">
        <v>447.65</v>
      </c>
      <c r="H18" s="5">
        <v>253.61</v>
      </c>
      <c r="I18" s="5">
        <v>328.52</v>
      </c>
      <c r="J18" s="5">
        <v>565.45000000000005</v>
      </c>
      <c r="K18" s="5">
        <v>689.69</v>
      </c>
      <c r="L18" s="5">
        <f t="shared" si="0"/>
        <v>455.35699999999997</v>
      </c>
      <c r="M18" s="5">
        <v>1.255125E-2</v>
      </c>
      <c r="N18" s="5">
        <v>1.244026E-2</v>
      </c>
      <c r="O18" s="5">
        <v>1.417114E-2</v>
      </c>
      <c r="P18" s="5">
        <v>1.093359E-2</v>
      </c>
      <c r="Q18" s="5">
        <v>1.2790630000000001E-2</v>
      </c>
      <c r="R18" s="5">
        <v>1.5006480000000001E-2</v>
      </c>
      <c r="S18" s="5">
        <v>1.509219E-2</v>
      </c>
      <c r="T18" s="5">
        <v>1.146614E-2</v>
      </c>
      <c r="U18" s="5">
        <v>7.8396500000000001E-3</v>
      </c>
      <c r="V18" s="5">
        <v>9.5519400000000001E-3</v>
      </c>
      <c r="W18" s="5">
        <f t="shared" si="1"/>
        <v>1.2184327E-2</v>
      </c>
      <c r="X18">
        <v>9.9581627000000006E-2</v>
      </c>
      <c r="Y18">
        <v>0.100012982</v>
      </c>
      <c r="Z18">
        <v>0.10222727500000001</v>
      </c>
      <c r="AA18">
        <v>9.4882000999999994E-2</v>
      </c>
      <c r="AB18">
        <v>9.5261720999999994E-2</v>
      </c>
      <c r="AC18">
        <v>9.2978948000000006E-2</v>
      </c>
      <c r="AD18">
        <v>9.2819398999999997E-2</v>
      </c>
      <c r="AE18">
        <v>9.9460530000000005E-2</v>
      </c>
      <c r="AF18">
        <v>8.8284915000000005E-2</v>
      </c>
      <c r="AG18">
        <v>9.3471580999999998E-2</v>
      </c>
      <c r="AH18">
        <f t="shared" si="2"/>
        <v>9.5898097900000007E-2</v>
      </c>
      <c r="AI18">
        <v>9.2066920999999996E-2</v>
      </c>
      <c r="AJ18">
        <v>9.6500791000000002E-2</v>
      </c>
      <c r="AK18" s="4" t="s">
        <v>45</v>
      </c>
    </row>
    <row r="19" spans="1:37" x14ac:dyDescent="0.2">
      <c r="A19" s="4" t="s">
        <v>48</v>
      </c>
      <c r="B19" s="5">
        <v>540.54</v>
      </c>
      <c r="C19" s="5">
        <v>365.75</v>
      </c>
      <c r="D19" s="5">
        <v>752.53</v>
      </c>
      <c r="E19" s="5">
        <v>864.75</v>
      </c>
      <c r="F19" s="5">
        <v>870.99</v>
      </c>
      <c r="G19" s="5">
        <v>889.55</v>
      </c>
      <c r="H19" s="5">
        <v>366.3</v>
      </c>
      <c r="I19" s="5">
        <v>530.79999999999995</v>
      </c>
      <c r="J19" s="5">
        <v>848.27</v>
      </c>
      <c r="K19" s="5">
        <v>831.8</v>
      </c>
      <c r="L19" s="5">
        <f t="shared" si="0"/>
        <v>686.12799999999993</v>
      </c>
      <c r="M19" s="5">
        <v>9.3114100000000009E-3</v>
      </c>
      <c r="N19" s="5">
        <v>8.1781700000000002E-3</v>
      </c>
      <c r="O19" s="5">
        <v>9.6244399999999997E-3</v>
      </c>
      <c r="P19" s="5">
        <v>8.2183599999999992E-3</v>
      </c>
      <c r="Q19" s="5">
        <v>7.5960100000000003E-3</v>
      </c>
      <c r="R19" s="5">
        <v>8.5580099999999996E-3</v>
      </c>
      <c r="S19" s="5">
        <v>8.2711399999999997E-3</v>
      </c>
      <c r="T19" s="5">
        <v>7.5984700000000004E-3</v>
      </c>
      <c r="U19" s="5">
        <v>6.5897500000000001E-3</v>
      </c>
      <c r="V19" s="5">
        <v>7.3066900000000002E-3</v>
      </c>
      <c r="W19" s="5">
        <f t="shared" si="1"/>
        <v>8.1252449999999997E-3</v>
      </c>
      <c r="X19">
        <v>0.100841546</v>
      </c>
      <c r="Y19">
        <v>8.8294958000000007E-2</v>
      </c>
      <c r="Z19">
        <v>8.1611890000000006E-2</v>
      </c>
      <c r="AA19">
        <v>8.9273198999999998E-2</v>
      </c>
      <c r="AB19">
        <v>8.4462354000000003E-2</v>
      </c>
      <c r="AC19">
        <v>8.4010639999999998E-2</v>
      </c>
      <c r="AD19">
        <v>7.8188855000000002E-2</v>
      </c>
      <c r="AE19">
        <v>8.5334006000000004E-2</v>
      </c>
      <c r="AF19">
        <v>8.0576338999999997E-2</v>
      </c>
      <c r="AG19">
        <v>7.8647218000000005E-2</v>
      </c>
      <c r="AH19">
        <f t="shared" si="2"/>
        <v>8.5124100499999994E-2</v>
      </c>
      <c r="AI19">
        <v>0.103728559</v>
      </c>
      <c r="AJ19">
        <v>0.11117196</v>
      </c>
      <c r="AK19" s="4" t="s">
        <v>41</v>
      </c>
    </row>
    <row r="20" spans="1:37" x14ac:dyDescent="0.2">
      <c r="A20" s="4" t="s">
        <v>49</v>
      </c>
      <c r="B20" s="5">
        <v>182.18</v>
      </c>
      <c r="C20" s="5">
        <v>442.62</v>
      </c>
      <c r="D20" s="5">
        <v>502.29</v>
      </c>
      <c r="E20" s="5">
        <v>595.85</v>
      </c>
      <c r="F20" s="5">
        <v>703.01</v>
      </c>
      <c r="G20" s="5">
        <v>706.33</v>
      </c>
      <c r="H20" s="5">
        <v>371.58</v>
      </c>
      <c r="I20" s="5">
        <v>380.26</v>
      </c>
      <c r="J20" s="5">
        <v>789.43</v>
      </c>
      <c r="K20" s="5">
        <v>705.45</v>
      </c>
      <c r="L20" s="5">
        <f t="shared" si="0"/>
        <v>537.9</v>
      </c>
      <c r="M20" s="7">
        <v>4.2464620000000002E-2</v>
      </c>
      <c r="N20" s="7">
        <v>5.4416060000000002E-2</v>
      </c>
      <c r="O20" s="7">
        <v>2.4007069999999998E-2</v>
      </c>
      <c r="P20" s="7">
        <v>4.2592360000000003E-2</v>
      </c>
      <c r="Q20" s="7">
        <v>4.3075549999999997E-2</v>
      </c>
      <c r="R20" s="7">
        <v>1.000059E-2</v>
      </c>
      <c r="S20" s="7">
        <v>8.3521780000000004E-2</v>
      </c>
      <c r="T20" s="7">
        <v>6.4665769999999997E-2</v>
      </c>
      <c r="U20" s="7">
        <v>4.5418180000000002E-2</v>
      </c>
      <c r="V20" s="7">
        <v>6.0432550000000002E-2</v>
      </c>
      <c r="W20" s="5">
        <f t="shared" si="1"/>
        <v>4.7059453000000008E-2</v>
      </c>
      <c r="X20" s="6">
        <v>0.14435283199999999</v>
      </c>
      <c r="Y20" s="6">
        <v>0.14034442599999999</v>
      </c>
      <c r="Z20" s="6">
        <v>0.13987575299999999</v>
      </c>
      <c r="AA20" s="6">
        <v>0.142057568</v>
      </c>
      <c r="AB20" s="6">
        <v>0.144793801</v>
      </c>
      <c r="AC20" s="6">
        <v>0.139314351</v>
      </c>
      <c r="AD20" s="6">
        <v>0.139247238</v>
      </c>
      <c r="AE20" s="6">
        <v>0.13716583399999999</v>
      </c>
      <c r="AF20" s="6">
        <v>0.139675041</v>
      </c>
      <c r="AG20" s="6">
        <v>0.143194453</v>
      </c>
      <c r="AH20">
        <f t="shared" si="2"/>
        <v>0.14100212969999998</v>
      </c>
      <c r="AI20">
        <v>0.11016904600000001</v>
      </c>
      <c r="AJ20">
        <v>0.12686599700000001</v>
      </c>
      <c r="AK20" s="4" t="s">
        <v>31</v>
      </c>
    </row>
    <row r="21" spans="1:37" x14ac:dyDescent="0.2">
      <c r="A21" s="4" t="s">
        <v>50</v>
      </c>
      <c r="B21" s="5">
        <v>259.42</v>
      </c>
      <c r="C21" s="5">
        <v>279.29000000000002</v>
      </c>
      <c r="D21" s="5">
        <v>266.70999999999998</v>
      </c>
      <c r="E21" s="5">
        <v>307.02999999999997</v>
      </c>
      <c r="F21" s="5">
        <v>307.49</v>
      </c>
      <c r="G21" s="5">
        <v>313</v>
      </c>
      <c r="H21" s="5">
        <v>168.28</v>
      </c>
      <c r="I21" s="5">
        <v>200.28</v>
      </c>
      <c r="J21" s="5">
        <v>364.05</v>
      </c>
      <c r="K21" s="5">
        <v>350.16</v>
      </c>
      <c r="L21" s="5">
        <f t="shared" si="0"/>
        <v>281.57100000000003</v>
      </c>
      <c r="M21" s="5">
        <v>1.3024229999999999E-2</v>
      </c>
      <c r="N21" s="5">
        <v>1.302827E-2</v>
      </c>
      <c r="O21" s="5">
        <v>1.183436E-2</v>
      </c>
      <c r="P21" s="5">
        <v>1.2156230000000001E-2</v>
      </c>
      <c r="Q21" s="5">
        <v>1.1355489999999999E-2</v>
      </c>
      <c r="R21" s="5">
        <v>1.1157749999999999E-2</v>
      </c>
      <c r="S21" s="5">
        <v>9.7350100000000005E-3</v>
      </c>
      <c r="T21" s="5">
        <v>8.4103000000000008E-3</v>
      </c>
      <c r="U21" s="5">
        <v>8.3728599999999993E-3</v>
      </c>
      <c r="V21" s="5">
        <v>9.0045699999999999E-3</v>
      </c>
      <c r="W21" s="5">
        <f t="shared" si="1"/>
        <v>1.0807906999999999E-2</v>
      </c>
      <c r="X21">
        <v>8.9215608000000002E-2</v>
      </c>
      <c r="Y21">
        <v>9.0343381E-2</v>
      </c>
      <c r="Z21">
        <v>8.7839623000000006E-2</v>
      </c>
      <c r="AA21">
        <v>8.8205104000000006E-2</v>
      </c>
      <c r="AB21">
        <v>8.6878172000000004E-2</v>
      </c>
      <c r="AC21">
        <v>8.6137195E-2</v>
      </c>
      <c r="AD21">
        <v>8.4314811000000003E-2</v>
      </c>
      <c r="AE21">
        <v>8.6233246999999999E-2</v>
      </c>
      <c r="AF21">
        <v>8.8169444999999999E-2</v>
      </c>
      <c r="AG21">
        <v>8.9269243999999998E-2</v>
      </c>
      <c r="AH21">
        <f t="shared" si="2"/>
        <v>8.7660583000000028E-2</v>
      </c>
      <c r="AI21">
        <v>0.111555855</v>
      </c>
      <c r="AJ21">
        <v>0.12540684999999999</v>
      </c>
      <c r="AK21" s="4" t="s">
        <v>55</v>
      </c>
    </row>
    <row r="22" spans="1:37" x14ac:dyDescent="0.2">
      <c r="A22" s="4" t="s">
        <v>51</v>
      </c>
      <c r="B22" s="5">
        <v>96.47</v>
      </c>
      <c r="C22" s="5">
        <v>272.45</v>
      </c>
      <c r="D22" s="5">
        <v>283.01</v>
      </c>
      <c r="E22" s="5">
        <v>344.39</v>
      </c>
      <c r="F22" s="5">
        <v>307.31</v>
      </c>
      <c r="G22" s="5">
        <v>303.66000000000003</v>
      </c>
      <c r="H22" s="5">
        <v>202.11</v>
      </c>
      <c r="I22" s="5">
        <v>280.93</v>
      </c>
      <c r="J22" s="5">
        <v>366.97</v>
      </c>
      <c r="K22" s="5">
        <v>360.99</v>
      </c>
      <c r="L22" s="5">
        <f t="shared" si="0"/>
        <v>281.82900000000001</v>
      </c>
      <c r="M22" s="5">
        <v>1.301064E-2</v>
      </c>
      <c r="N22" s="5">
        <v>1.1465889999999999E-2</v>
      </c>
      <c r="O22" s="5">
        <v>1.156778E-2</v>
      </c>
      <c r="P22" s="5">
        <v>1.296598E-2</v>
      </c>
      <c r="Q22" s="5">
        <v>1.1886270000000001E-2</v>
      </c>
      <c r="R22" s="5">
        <v>1.4098899999999999E-2</v>
      </c>
      <c r="S22" s="5">
        <v>1.194926E-2</v>
      </c>
      <c r="T22" s="5">
        <v>1.0032579999999999E-2</v>
      </c>
      <c r="U22" s="5">
        <v>8.2890299999999993E-3</v>
      </c>
      <c r="V22" s="5">
        <v>9.5803299999999997E-3</v>
      </c>
      <c r="W22" s="5">
        <f t="shared" si="1"/>
        <v>1.1484666000000001E-2</v>
      </c>
      <c r="X22">
        <v>7.7310181000000006E-2</v>
      </c>
      <c r="Y22">
        <v>7.8503040999999996E-2</v>
      </c>
      <c r="Z22">
        <v>7.4769241E-2</v>
      </c>
      <c r="AA22">
        <v>7.3886587000000004E-2</v>
      </c>
      <c r="AB22">
        <v>7.8326661000000006E-2</v>
      </c>
      <c r="AC22">
        <v>7.8564903000000005E-2</v>
      </c>
      <c r="AD22">
        <v>7.4765973999999999E-2</v>
      </c>
      <c r="AE22">
        <v>7.6595698000000004E-2</v>
      </c>
      <c r="AF22">
        <v>7.4951636000000002E-2</v>
      </c>
      <c r="AG22">
        <v>7.6406629000000004E-2</v>
      </c>
      <c r="AH22">
        <f t="shared" si="2"/>
        <v>7.6408055099999997E-2</v>
      </c>
      <c r="AI22">
        <v>0.111809415</v>
      </c>
      <c r="AJ22">
        <v>0.119384852</v>
      </c>
      <c r="AK22" s="4" t="s">
        <v>56</v>
      </c>
    </row>
    <row r="23" spans="1:37" x14ac:dyDescent="0.2">
      <c r="A23" s="4" t="s">
        <v>52</v>
      </c>
      <c r="B23" s="5">
        <v>137.66</v>
      </c>
      <c r="C23" s="5">
        <v>606.39</v>
      </c>
      <c r="D23" s="5">
        <v>530.03</v>
      </c>
      <c r="E23" s="5">
        <v>546.05999999999995</v>
      </c>
      <c r="F23" s="5">
        <v>562.89</v>
      </c>
      <c r="G23" s="5">
        <v>520.97</v>
      </c>
      <c r="H23" s="5">
        <v>319.22000000000003</v>
      </c>
      <c r="I23" s="5">
        <v>355.24</v>
      </c>
      <c r="J23" s="5">
        <v>615.11</v>
      </c>
      <c r="K23" s="5">
        <v>548.20000000000005</v>
      </c>
      <c r="L23" s="5">
        <f t="shared" si="0"/>
        <v>474.17699999999996</v>
      </c>
      <c r="M23" s="5">
        <v>1.0883240000000001E-2</v>
      </c>
      <c r="N23" s="5">
        <v>1.1427090000000001E-2</v>
      </c>
      <c r="O23" s="5">
        <v>9.1266799999999999E-3</v>
      </c>
      <c r="P23" s="5">
        <v>6.0017400000000002E-3</v>
      </c>
      <c r="Q23" s="5">
        <v>9.6217400000000002E-3</v>
      </c>
      <c r="R23" s="5">
        <v>1.115435E-2</v>
      </c>
      <c r="S23" s="5">
        <v>1.0049779999999999E-2</v>
      </c>
      <c r="T23" s="5">
        <v>5.2318399999999998E-3</v>
      </c>
      <c r="U23" s="5">
        <v>6.6009199999999997E-3</v>
      </c>
      <c r="V23" s="5">
        <v>7.3441000000000001E-3</v>
      </c>
      <c r="W23" s="5">
        <f t="shared" si="1"/>
        <v>8.7441480000000002E-3</v>
      </c>
      <c r="X23">
        <v>0.118678783</v>
      </c>
      <c r="Y23">
        <v>0.131510762</v>
      </c>
      <c r="Z23">
        <v>0.114911396</v>
      </c>
      <c r="AA23">
        <v>0.116108685</v>
      </c>
      <c r="AB23">
        <v>0.117609925</v>
      </c>
      <c r="AC23">
        <v>0.13101187</v>
      </c>
      <c r="AD23">
        <v>0.118851677</v>
      </c>
      <c r="AE23">
        <v>0.12398743399999999</v>
      </c>
      <c r="AF23">
        <v>0.126072609</v>
      </c>
      <c r="AG23">
        <v>0.118323593</v>
      </c>
      <c r="AH23">
        <f t="shared" si="2"/>
        <v>0.12170667340000001</v>
      </c>
      <c r="AI23">
        <v>0.114000111</v>
      </c>
      <c r="AJ23">
        <v>0.14819926899999999</v>
      </c>
      <c r="AK23" s="4" t="s">
        <v>33</v>
      </c>
    </row>
    <row r="24" spans="1:37" x14ac:dyDescent="0.2">
      <c r="A24" s="4" t="s">
        <v>53</v>
      </c>
      <c r="B24" s="5">
        <v>805.1</v>
      </c>
      <c r="C24" s="5">
        <v>683.12</v>
      </c>
      <c r="D24" s="5">
        <v>724.67</v>
      </c>
      <c r="E24" s="5">
        <v>749.34</v>
      </c>
      <c r="F24" s="5">
        <v>903.4</v>
      </c>
      <c r="G24" s="5">
        <v>748.45</v>
      </c>
      <c r="H24" s="5">
        <v>629.1</v>
      </c>
      <c r="I24" s="5">
        <v>796.81</v>
      </c>
      <c r="J24" s="5">
        <v>1142.3</v>
      </c>
      <c r="K24" s="5">
        <v>883.16</v>
      </c>
      <c r="L24" s="5">
        <f t="shared" si="0"/>
        <v>806.54499999999996</v>
      </c>
      <c r="M24" s="5">
        <v>1.369414E-2</v>
      </c>
      <c r="N24" s="5">
        <v>9.8166199999999999E-3</v>
      </c>
      <c r="O24" s="5">
        <v>8.3379400000000003E-3</v>
      </c>
      <c r="P24" s="5">
        <v>9.2873299999999999E-3</v>
      </c>
      <c r="Q24" s="5">
        <v>9.55108E-3</v>
      </c>
      <c r="R24" s="5">
        <v>1.0230049999999999E-2</v>
      </c>
      <c r="S24" s="5">
        <v>8.1752999999999999E-3</v>
      </c>
      <c r="T24" s="5">
        <v>6.7124200000000002E-3</v>
      </c>
      <c r="U24" s="5">
        <v>6.71756E-3</v>
      </c>
      <c r="V24" s="5">
        <v>6.3812399999999998E-3</v>
      </c>
      <c r="W24" s="5">
        <f t="shared" si="1"/>
        <v>8.8903679999999992E-3</v>
      </c>
      <c r="X24">
        <v>0.13019344999999999</v>
      </c>
      <c r="Y24">
        <v>0.137105158</v>
      </c>
      <c r="Z24">
        <v>0.120012378</v>
      </c>
      <c r="AA24">
        <v>0.119842611</v>
      </c>
      <c r="AB24">
        <v>0.13921979200000001</v>
      </c>
      <c r="AC24">
        <v>0.129576789</v>
      </c>
      <c r="AD24">
        <v>0.13061969300000001</v>
      </c>
      <c r="AE24">
        <v>0.12695740799999999</v>
      </c>
      <c r="AF24">
        <v>0.115522758</v>
      </c>
      <c r="AG24">
        <v>0.133432415</v>
      </c>
      <c r="AH24">
        <f t="shared" si="2"/>
        <v>0.1282482452</v>
      </c>
      <c r="AI24">
        <v>0.114179223</v>
      </c>
      <c r="AJ24">
        <v>0.13650984399999999</v>
      </c>
      <c r="AK24" s="4" t="s">
        <v>57</v>
      </c>
    </row>
    <row r="25" spans="1:37" x14ac:dyDescent="0.2">
      <c r="A25" s="4" t="s">
        <v>54</v>
      </c>
      <c r="B25" s="5">
        <v>220.58</v>
      </c>
      <c r="C25" s="5">
        <v>493.88</v>
      </c>
      <c r="D25" s="5">
        <v>620.38</v>
      </c>
      <c r="E25" s="5">
        <v>819.53</v>
      </c>
      <c r="F25" s="5">
        <v>800.42</v>
      </c>
      <c r="G25" s="5">
        <v>750.64</v>
      </c>
      <c r="H25" s="5">
        <v>501.34</v>
      </c>
      <c r="I25" s="5">
        <v>493.33</v>
      </c>
      <c r="J25" s="5">
        <v>877.9</v>
      </c>
      <c r="K25" s="5">
        <v>885.03</v>
      </c>
      <c r="L25" s="5">
        <f t="shared" si="0"/>
        <v>646.30299999999988</v>
      </c>
      <c r="M25" s="5">
        <v>1.5349379999999999E-2</v>
      </c>
      <c r="N25" s="5">
        <v>1.2508780000000001E-2</v>
      </c>
      <c r="O25" s="5">
        <v>9.4882899999999999E-3</v>
      </c>
      <c r="P25" s="5">
        <v>1.160603E-2</v>
      </c>
      <c r="Q25" s="5">
        <v>9.18041E-3</v>
      </c>
      <c r="R25" s="5">
        <v>9.6430999999999999E-3</v>
      </c>
      <c r="S25" s="5">
        <v>7.9962200000000001E-3</v>
      </c>
      <c r="T25" s="5">
        <v>6.2810399999999999E-3</v>
      </c>
      <c r="U25" s="5">
        <v>8.5327200000000006E-3</v>
      </c>
      <c r="V25" s="5">
        <v>7.5432399999999997E-3</v>
      </c>
      <c r="W25" s="5">
        <f t="shared" si="1"/>
        <v>9.8129210000000022E-3</v>
      </c>
      <c r="X25">
        <v>7.7244776000000001E-2</v>
      </c>
      <c r="Y25">
        <v>8.0331711E-2</v>
      </c>
      <c r="Z25">
        <v>7.6118498000000007E-2</v>
      </c>
      <c r="AA25">
        <v>7.3909854999999997E-2</v>
      </c>
      <c r="AB25">
        <v>8.4132705000000002E-2</v>
      </c>
      <c r="AC25">
        <v>8.1654102000000006E-2</v>
      </c>
      <c r="AD25">
        <v>7.2451907999999995E-2</v>
      </c>
      <c r="AE25">
        <v>7.8539443E-2</v>
      </c>
      <c r="AF25">
        <v>7.5462407999999995E-2</v>
      </c>
      <c r="AG25">
        <v>7.7396619999999999E-2</v>
      </c>
      <c r="AH25">
        <f t="shared" si="2"/>
        <v>7.7724202600000014E-2</v>
      </c>
      <c r="AI25">
        <v>0.114911396</v>
      </c>
      <c r="AJ25">
        <v>0.131510762</v>
      </c>
      <c r="AK25" s="4" t="s">
        <v>52</v>
      </c>
    </row>
    <row r="26" spans="1:37" x14ac:dyDescent="0.2">
      <c r="A26" s="4" t="s">
        <v>55</v>
      </c>
      <c r="B26" s="5">
        <v>458.24</v>
      </c>
      <c r="C26" s="5">
        <v>591.94000000000005</v>
      </c>
      <c r="D26" s="5">
        <v>658.78</v>
      </c>
      <c r="E26" s="5">
        <v>857.64</v>
      </c>
      <c r="F26" s="5">
        <v>864.71</v>
      </c>
      <c r="G26" s="5">
        <v>916.38</v>
      </c>
      <c r="H26" s="5">
        <v>417.46</v>
      </c>
      <c r="I26" s="5">
        <v>465.24</v>
      </c>
      <c r="J26" s="5">
        <v>630.23</v>
      </c>
      <c r="K26" s="5">
        <v>630.80999999999995</v>
      </c>
      <c r="L26" s="5">
        <f t="shared" si="0"/>
        <v>649.1429999999998</v>
      </c>
      <c r="M26" s="5">
        <v>8.8410299999999997E-3</v>
      </c>
      <c r="N26" s="5">
        <v>8.8403900000000001E-3</v>
      </c>
      <c r="O26" s="5">
        <v>7.9101099999999997E-3</v>
      </c>
      <c r="P26" s="5">
        <v>9.7288099999999992E-3</v>
      </c>
      <c r="Q26" s="5">
        <v>8.4771099999999995E-3</v>
      </c>
      <c r="R26" s="5">
        <v>7.8510300000000002E-3</v>
      </c>
      <c r="S26" s="5">
        <v>7.7283600000000001E-3</v>
      </c>
      <c r="T26" s="5">
        <v>6.1841300000000004E-3</v>
      </c>
      <c r="U26" s="5">
        <v>5.7466100000000001E-3</v>
      </c>
      <c r="V26" s="5">
        <v>7.6473799999999996E-3</v>
      </c>
      <c r="W26" s="5">
        <f t="shared" si="1"/>
        <v>7.8954959999999984E-3</v>
      </c>
      <c r="X26">
        <v>0.111964286</v>
      </c>
      <c r="Y26">
        <v>0.120109295</v>
      </c>
      <c r="Z26">
        <v>0.114216552</v>
      </c>
      <c r="AA26">
        <v>0.120209944</v>
      </c>
      <c r="AB26">
        <v>0.12415097</v>
      </c>
      <c r="AC26">
        <v>0.11973376600000001</v>
      </c>
      <c r="AD26">
        <v>0.111555855</v>
      </c>
      <c r="AE26">
        <v>0.12540684999999999</v>
      </c>
      <c r="AF26">
        <v>0.11380562</v>
      </c>
      <c r="AG26">
        <v>0.115526622</v>
      </c>
      <c r="AH26">
        <f t="shared" si="2"/>
        <v>0.11766797599999998</v>
      </c>
      <c r="AI26">
        <v>0.115522758</v>
      </c>
      <c r="AJ26">
        <v>0.13921979200000001</v>
      </c>
      <c r="AK26" s="4" t="s">
        <v>53</v>
      </c>
    </row>
    <row r="27" spans="1:37" x14ac:dyDescent="0.2">
      <c r="A27" s="4" t="s">
        <v>56</v>
      </c>
      <c r="B27" s="5">
        <v>840.01</v>
      </c>
      <c r="C27" s="5">
        <v>754.9</v>
      </c>
      <c r="D27" s="5">
        <v>833.79</v>
      </c>
      <c r="E27" s="5">
        <v>807.09</v>
      </c>
      <c r="F27" s="5">
        <v>874.9</v>
      </c>
      <c r="G27" s="5">
        <v>803.49</v>
      </c>
      <c r="H27" s="5">
        <v>434.77</v>
      </c>
      <c r="I27" s="5">
        <v>514.38</v>
      </c>
      <c r="J27" s="5">
        <v>764.21</v>
      </c>
      <c r="K27" s="5">
        <v>847.69</v>
      </c>
      <c r="L27" s="5">
        <f t="shared" si="0"/>
        <v>747.52299999999991</v>
      </c>
      <c r="M27" s="5">
        <v>8.9563999999999998E-3</v>
      </c>
      <c r="N27" s="5">
        <v>9.8468400000000008E-3</v>
      </c>
      <c r="O27" s="5">
        <v>8.35872E-3</v>
      </c>
      <c r="P27" s="5">
        <v>9.6479500000000006E-3</v>
      </c>
      <c r="Q27" s="5">
        <v>9.1426700000000003E-3</v>
      </c>
      <c r="R27" s="5">
        <v>9.7138399999999996E-3</v>
      </c>
      <c r="S27" s="5">
        <v>7.8975899999999995E-3</v>
      </c>
      <c r="T27" s="5">
        <v>6.5863800000000002E-3</v>
      </c>
      <c r="U27" s="5">
        <v>7.8701099999999996E-3</v>
      </c>
      <c r="V27" s="5">
        <v>8.13703E-3</v>
      </c>
      <c r="W27" s="5">
        <f t="shared" si="1"/>
        <v>8.6157530000000003E-3</v>
      </c>
      <c r="X27">
        <v>0.113861578</v>
      </c>
      <c r="Y27">
        <v>0.119384852</v>
      </c>
      <c r="Z27">
        <v>0.113537552</v>
      </c>
      <c r="AA27">
        <v>0.117805141</v>
      </c>
      <c r="AB27">
        <v>0.114798805</v>
      </c>
      <c r="AC27">
        <v>0.118495516</v>
      </c>
      <c r="AD27">
        <v>0.113892169</v>
      </c>
      <c r="AE27">
        <v>0.11622352800000001</v>
      </c>
      <c r="AF27">
        <v>0.111809415</v>
      </c>
      <c r="AG27">
        <v>0.11715413099999999</v>
      </c>
      <c r="AH27">
        <f t="shared" si="2"/>
        <v>0.11569626870000001</v>
      </c>
      <c r="AI27">
        <v>0.12377946500000001</v>
      </c>
      <c r="AJ27">
        <v>0.142438708</v>
      </c>
      <c r="AK27" s="4" t="s">
        <v>39</v>
      </c>
    </row>
    <row r="28" spans="1:37" x14ac:dyDescent="0.2">
      <c r="A28" s="4" t="s">
        <v>57</v>
      </c>
      <c r="B28" s="5">
        <v>263.88</v>
      </c>
      <c r="C28" s="5">
        <v>323.92</v>
      </c>
      <c r="D28" s="5">
        <v>320.16000000000003</v>
      </c>
      <c r="E28" s="5">
        <v>358.53</v>
      </c>
      <c r="F28" s="5">
        <v>325.05</v>
      </c>
      <c r="G28" s="5">
        <v>398.17</v>
      </c>
      <c r="H28" s="5">
        <v>232.05</v>
      </c>
      <c r="I28" s="5">
        <v>305.66000000000003</v>
      </c>
      <c r="J28" s="5">
        <v>545.17999999999995</v>
      </c>
      <c r="K28" s="5">
        <v>488.84</v>
      </c>
      <c r="L28" s="5">
        <f t="shared" si="0"/>
        <v>356.14400000000001</v>
      </c>
      <c r="M28" s="5">
        <v>8.61957E-3</v>
      </c>
      <c r="N28" s="5">
        <v>9.4579699999999996E-3</v>
      </c>
      <c r="O28" s="5">
        <v>8.0951600000000005E-3</v>
      </c>
      <c r="P28" s="5">
        <v>1.087668E-2</v>
      </c>
      <c r="Q28" s="5">
        <v>1.0957939999999999E-2</v>
      </c>
      <c r="R28" s="5">
        <v>8.1748299999999992E-3</v>
      </c>
      <c r="S28" s="5">
        <v>8.8352499999999994E-3</v>
      </c>
      <c r="T28" s="5">
        <v>1.051008E-2</v>
      </c>
      <c r="U28" s="5">
        <v>8.2386600000000001E-3</v>
      </c>
      <c r="V28" s="5">
        <v>8.3780499999999997E-3</v>
      </c>
      <c r="W28" s="5">
        <f t="shared" si="1"/>
        <v>9.2144189999999997E-3</v>
      </c>
      <c r="X28">
        <v>0.118525112</v>
      </c>
      <c r="Y28">
        <v>0.12439486299999999</v>
      </c>
      <c r="Z28">
        <v>0.12347974</v>
      </c>
      <c r="AA28">
        <v>0.11888008799999999</v>
      </c>
      <c r="AB28">
        <v>0.124707792</v>
      </c>
      <c r="AC28">
        <v>0.121727266</v>
      </c>
      <c r="AD28">
        <v>0.114179223</v>
      </c>
      <c r="AE28">
        <v>0.123506913</v>
      </c>
      <c r="AF28">
        <v>0.13295926299999999</v>
      </c>
      <c r="AG28">
        <v>0.13650984399999999</v>
      </c>
      <c r="AH28">
        <f t="shared" si="2"/>
        <v>0.12388701040000001</v>
      </c>
      <c r="AI28">
        <v>0.128616657</v>
      </c>
      <c r="AJ28">
        <v>0.138720391</v>
      </c>
      <c r="AK28" s="4" t="s">
        <v>58</v>
      </c>
    </row>
    <row r="29" spans="1:37" x14ac:dyDescent="0.2">
      <c r="A29" s="4" t="s">
        <v>58</v>
      </c>
      <c r="B29" s="5">
        <v>176.09</v>
      </c>
      <c r="C29" s="5">
        <v>542.28</v>
      </c>
      <c r="D29" s="5">
        <v>595.26</v>
      </c>
      <c r="E29" s="5">
        <v>861.01</v>
      </c>
      <c r="F29" s="5">
        <v>684.67</v>
      </c>
      <c r="G29" s="5">
        <v>720.15</v>
      </c>
      <c r="H29" s="5">
        <v>385.99</v>
      </c>
      <c r="I29" s="5">
        <v>504.24</v>
      </c>
      <c r="J29" s="5">
        <v>726.45</v>
      </c>
      <c r="K29" s="5">
        <v>704.78</v>
      </c>
      <c r="L29" s="5">
        <f t="shared" si="0"/>
        <v>590.09199999999998</v>
      </c>
      <c r="M29" s="5">
        <v>1.176206E-2</v>
      </c>
      <c r="N29" s="5">
        <v>1.245719E-2</v>
      </c>
      <c r="O29" s="5">
        <v>8.2425199999999997E-3</v>
      </c>
      <c r="P29" s="5">
        <v>1.027435E-2</v>
      </c>
      <c r="Q29" s="5">
        <v>9.1829100000000007E-3</v>
      </c>
      <c r="R29" s="5">
        <v>1.55929E-2</v>
      </c>
      <c r="S29" s="5">
        <v>1.6304320000000001E-2</v>
      </c>
      <c r="T29" s="5">
        <v>9.7116000000000008E-3</v>
      </c>
      <c r="U29" s="5">
        <v>1.277552E-2</v>
      </c>
      <c r="V29" s="5">
        <v>1.4613849999999999E-2</v>
      </c>
      <c r="W29" s="5">
        <f t="shared" si="1"/>
        <v>1.2091721999999999E-2</v>
      </c>
      <c r="X29">
        <v>0.138720391</v>
      </c>
      <c r="Y29">
        <v>0.134962534</v>
      </c>
      <c r="Z29">
        <v>0.13324968100000001</v>
      </c>
      <c r="AA29">
        <v>0.128616657</v>
      </c>
      <c r="AB29">
        <v>0.133893979</v>
      </c>
      <c r="AC29">
        <v>0.13109627300000001</v>
      </c>
      <c r="AD29">
        <v>0.12899744799999999</v>
      </c>
      <c r="AE29">
        <v>0.13241017499999999</v>
      </c>
      <c r="AF29">
        <v>0.13133428</v>
      </c>
      <c r="AG29">
        <v>0.137734671</v>
      </c>
      <c r="AH29">
        <f t="shared" si="2"/>
        <v>0.1331016089</v>
      </c>
      <c r="AI29">
        <v>0.13040907900000001</v>
      </c>
      <c r="AJ29">
        <v>0.14403101300000001</v>
      </c>
      <c r="AK29" s="4" t="s">
        <v>38</v>
      </c>
    </row>
    <row r="30" spans="1:37" x14ac:dyDescent="0.2">
      <c r="A30" s="4" t="s">
        <v>59</v>
      </c>
      <c r="B30" s="5">
        <v>121.53</v>
      </c>
      <c r="C30" s="5">
        <v>424.31</v>
      </c>
      <c r="D30" s="5">
        <v>412.34</v>
      </c>
      <c r="E30" s="5">
        <v>466.62</v>
      </c>
      <c r="F30" s="5">
        <v>586.75</v>
      </c>
      <c r="G30" s="5">
        <v>322.02999999999997</v>
      </c>
      <c r="H30" s="5">
        <v>266.74</v>
      </c>
      <c r="I30" s="5">
        <v>357.92</v>
      </c>
      <c r="J30" s="5">
        <v>671.42</v>
      </c>
      <c r="K30" s="5">
        <v>577.16</v>
      </c>
      <c r="L30" s="5">
        <f t="shared" si="0"/>
        <v>420.68199999999996</v>
      </c>
      <c r="M30" s="7">
        <v>1.608002E-2</v>
      </c>
      <c r="N30" s="7">
        <v>1.489382E-2</v>
      </c>
      <c r="O30" s="7">
        <v>1.367937E-2</v>
      </c>
      <c r="P30" s="7">
        <v>1.4431289999999999E-2</v>
      </c>
      <c r="Q30" s="7">
        <v>1.4445090000000001E-2</v>
      </c>
      <c r="R30" s="7">
        <v>1.034094E-2</v>
      </c>
      <c r="S30" s="7">
        <v>1.2304519999999999E-2</v>
      </c>
      <c r="T30" s="7">
        <v>1.1160740000000001E-2</v>
      </c>
      <c r="U30" s="7">
        <v>1.061495E-2</v>
      </c>
      <c r="V30" s="7">
        <v>9.9356400000000008E-3</v>
      </c>
      <c r="W30" s="5">
        <f t="shared" si="1"/>
        <v>1.2788638E-2</v>
      </c>
      <c r="X30">
        <v>7.3804912E-2</v>
      </c>
      <c r="Y30">
        <v>7.4526233999999997E-2</v>
      </c>
      <c r="Z30">
        <v>7.1641608999999995E-2</v>
      </c>
      <c r="AA30">
        <v>7.5840055000000003E-2</v>
      </c>
      <c r="AB30">
        <v>7.6875563999999993E-2</v>
      </c>
      <c r="AC30">
        <v>7.6514542000000005E-2</v>
      </c>
      <c r="AD30">
        <v>7.1261289000000005E-2</v>
      </c>
      <c r="AE30">
        <v>7.48423E-2</v>
      </c>
      <c r="AF30">
        <v>7.0747027000000004E-2</v>
      </c>
      <c r="AG30">
        <v>7.7131427000000002E-2</v>
      </c>
      <c r="AH30">
        <f t="shared" si="2"/>
        <v>7.4318495900000003E-2</v>
      </c>
      <c r="AI30">
        <v>0.132079575</v>
      </c>
      <c r="AJ30">
        <v>0.16857847000000001</v>
      </c>
      <c r="AK30" s="4" t="s">
        <v>37</v>
      </c>
    </row>
    <row r="31" spans="1:37" x14ac:dyDescent="0.2">
      <c r="A31" s="4" t="s">
        <v>60</v>
      </c>
      <c r="B31" s="5">
        <v>184.83</v>
      </c>
      <c r="C31" s="5">
        <v>217.9</v>
      </c>
      <c r="D31" s="5">
        <v>286.04000000000002</v>
      </c>
      <c r="E31" s="5">
        <v>422.03</v>
      </c>
      <c r="F31" s="5">
        <v>462.77</v>
      </c>
      <c r="G31" s="5">
        <v>404.21</v>
      </c>
      <c r="H31" s="5">
        <v>217.26</v>
      </c>
      <c r="I31" s="5">
        <v>349.15</v>
      </c>
      <c r="J31" s="5">
        <v>665.09</v>
      </c>
      <c r="K31" s="5">
        <v>514.59</v>
      </c>
      <c r="L31" s="5">
        <f t="shared" si="0"/>
        <v>372.38700000000006</v>
      </c>
      <c r="M31" s="5">
        <v>1.3857100000000001E-2</v>
      </c>
      <c r="N31" s="5">
        <v>1.196646E-2</v>
      </c>
      <c r="O31" s="5">
        <v>1.180528E-2</v>
      </c>
      <c r="P31" s="5">
        <v>1.344296E-2</v>
      </c>
      <c r="Q31" s="5">
        <v>1.3268179999999999E-2</v>
      </c>
      <c r="R31" s="5">
        <v>1.236697E-2</v>
      </c>
      <c r="S31" s="5">
        <v>2.3402570000000001E-2</v>
      </c>
      <c r="T31" s="5">
        <v>3.1714619999999999E-2</v>
      </c>
      <c r="U31" s="5">
        <v>1.8597949999999999E-2</v>
      </c>
      <c r="V31" s="5">
        <v>9.7126899999999995E-3</v>
      </c>
      <c r="W31" s="5">
        <f t="shared" si="1"/>
        <v>1.6013478000000001E-2</v>
      </c>
      <c r="X31">
        <v>8.2206716999999999E-2</v>
      </c>
      <c r="Y31">
        <v>8.2635153000000003E-2</v>
      </c>
      <c r="Z31">
        <v>7.9682117999999996E-2</v>
      </c>
      <c r="AA31">
        <v>7.9829531999999995E-2</v>
      </c>
      <c r="AB31">
        <v>8.3804723999999997E-2</v>
      </c>
      <c r="AC31">
        <v>8.1377020999999994E-2</v>
      </c>
      <c r="AD31">
        <v>8.0504436999999998E-2</v>
      </c>
      <c r="AE31">
        <v>8.1185008000000003E-2</v>
      </c>
      <c r="AF31">
        <v>8.1065495000000001E-2</v>
      </c>
      <c r="AG31">
        <v>8.1708636000000001E-2</v>
      </c>
      <c r="AH31">
        <f t="shared" si="2"/>
        <v>8.13998841E-2</v>
      </c>
      <c r="AI31">
        <v>0.13716583399999999</v>
      </c>
      <c r="AJ31">
        <v>0.144793801</v>
      </c>
      <c r="AK31" s="4" t="s">
        <v>49</v>
      </c>
    </row>
    <row r="32" spans="1:37" x14ac:dyDescent="0.2">
      <c r="A32" s="4" t="s">
        <v>61</v>
      </c>
      <c r="B32" s="5">
        <v>369.01</v>
      </c>
      <c r="C32" s="5">
        <v>356.25</v>
      </c>
      <c r="D32" s="5">
        <v>503.43</v>
      </c>
      <c r="E32" s="5">
        <v>982.31</v>
      </c>
      <c r="F32" s="5">
        <v>996.5</v>
      </c>
      <c r="G32" s="5">
        <v>831.52</v>
      </c>
      <c r="H32" s="5">
        <v>344.47</v>
      </c>
      <c r="I32" s="5">
        <v>476.02</v>
      </c>
      <c r="J32" s="5">
        <v>745.89</v>
      </c>
      <c r="K32" s="5">
        <v>728.18</v>
      </c>
      <c r="L32" s="5">
        <f t="shared" si="0"/>
        <v>633.35800000000006</v>
      </c>
      <c r="M32" s="5">
        <v>1.192787E-2</v>
      </c>
      <c r="N32" s="5">
        <v>1.1325139999999999E-2</v>
      </c>
      <c r="O32" s="5">
        <v>1.1291229999999999E-2</v>
      </c>
      <c r="P32" s="5">
        <v>1.0599890000000001E-2</v>
      </c>
      <c r="Q32" s="5">
        <v>1.1944919999999999E-2</v>
      </c>
      <c r="R32" s="5">
        <v>1.071505E-2</v>
      </c>
      <c r="S32" s="5">
        <v>9.7363299999999996E-3</v>
      </c>
      <c r="T32" s="5">
        <v>7.3725700000000002E-3</v>
      </c>
      <c r="U32" s="5">
        <v>7.9762700000000006E-3</v>
      </c>
      <c r="V32" s="5">
        <v>7.8162200000000005E-3</v>
      </c>
      <c r="W32" s="5">
        <f t="shared" si="1"/>
        <v>1.0070549E-2</v>
      </c>
      <c r="X32">
        <v>7.0540343000000005E-2</v>
      </c>
      <c r="Y32">
        <v>7.2202103000000004E-2</v>
      </c>
      <c r="Z32">
        <v>6.7565177000000004E-2</v>
      </c>
      <c r="AA32">
        <v>7.0800467000000006E-2</v>
      </c>
      <c r="AB32">
        <v>7.091712E-2</v>
      </c>
      <c r="AC32">
        <v>7.1179794000000005E-2</v>
      </c>
      <c r="AD32">
        <v>6.6759747999999994E-2</v>
      </c>
      <c r="AE32">
        <v>6.9521011999999993E-2</v>
      </c>
      <c r="AF32">
        <v>7.0259051000000003E-2</v>
      </c>
      <c r="AG32">
        <v>7.1720309999999995E-2</v>
      </c>
      <c r="AH32">
        <f t="shared" si="2"/>
        <v>7.0146512500000008E-2</v>
      </c>
      <c r="AI32">
        <v>0.15321097</v>
      </c>
      <c r="AJ32">
        <v>0.19447667599999999</v>
      </c>
      <c r="AK32" s="4" t="s">
        <v>34</v>
      </c>
    </row>
    <row r="33" spans="1:37" x14ac:dyDescent="0.2">
      <c r="A33" s="4" t="s">
        <v>62</v>
      </c>
      <c r="B33" s="5">
        <v>479.68</v>
      </c>
      <c r="C33" s="5">
        <v>469.9</v>
      </c>
      <c r="D33" s="5">
        <v>496.28</v>
      </c>
      <c r="E33" s="5">
        <v>468.63</v>
      </c>
      <c r="F33" s="5">
        <v>516.99</v>
      </c>
      <c r="G33" s="5">
        <v>523.33000000000004</v>
      </c>
      <c r="H33" s="5">
        <v>314.93</v>
      </c>
      <c r="I33" s="5">
        <v>388.28</v>
      </c>
      <c r="J33" s="5">
        <v>374.46</v>
      </c>
      <c r="K33" s="5">
        <v>341.67</v>
      </c>
      <c r="L33" s="5">
        <f t="shared" si="0"/>
        <v>437.41499999999996</v>
      </c>
      <c r="M33" s="7">
        <v>1.6749679999999999E-2</v>
      </c>
      <c r="N33" s="7">
        <v>1.5142950000000001E-2</v>
      </c>
      <c r="O33" s="7">
        <v>1.457148E-2</v>
      </c>
      <c r="P33" s="7">
        <v>1.5581889999999999E-2</v>
      </c>
      <c r="Q33" s="7">
        <v>1.239004E-2</v>
      </c>
      <c r="R33" s="7">
        <v>8.6072200000000005E-3</v>
      </c>
      <c r="S33" s="7">
        <v>2.7452750000000001E-2</v>
      </c>
      <c r="T33" s="7">
        <v>2.3216199999999999E-2</v>
      </c>
      <c r="U33" s="7">
        <v>1.106033E-2</v>
      </c>
      <c r="V33" s="7">
        <v>1.054064E-2</v>
      </c>
      <c r="W33" s="5">
        <f t="shared" si="1"/>
        <v>1.5531317999999999E-2</v>
      </c>
      <c r="X33">
        <v>8.6927134000000003E-2</v>
      </c>
      <c r="Y33">
        <v>8.7313377999999997E-2</v>
      </c>
      <c r="Z33">
        <v>8.0407991999999998E-2</v>
      </c>
      <c r="AA33">
        <v>8.1368082999999994E-2</v>
      </c>
      <c r="AB33">
        <v>8.3978002999999996E-2</v>
      </c>
      <c r="AC33">
        <v>8.8385980000000003E-2</v>
      </c>
      <c r="AD33">
        <v>8.3058435E-2</v>
      </c>
      <c r="AE33">
        <v>8.4691083E-2</v>
      </c>
      <c r="AF33">
        <v>8.6108946000000006E-2</v>
      </c>
      <c r="AG33">
        <v>8.2337148999999998E-2</v>
      </c>
      <c r="AH33">
        <f t="shared" si="2"/>
        <v>8.4457618299999981E-2</v>
      </c>
      <c r="AI33">
        <v>0.18391959299999999</v>
      </c>
      <c r="AJ33">
        <v>0.21362165599999999</v>
      </c>
      <c r="AK33" s="4" t="s">
        <v>32</v>
      </c>
    </row>
  </sheetData>
  <sortState xmlns:xlrd2="http://schemas.microsoft.com/office/spreadsheetml/2017/richdata2" ref="AI2:AK33">
    <sortCondition ref="AI2:AI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DADDHIAT ASBEL ITZAME MARES PARIS</dc:creator>
  <cp:lastModifiedBy>DADDHIAT ASBEL ITZAME MARES PARIS</cp:lastModifiedBy>
  <dcterms:created xsi:type="dcterms:W3CDTF">2025-08-17T14:58:09Z</dcterms:created>
  <dcterms:modified xsi:type="dcterms:W3CDTF">2025-08-17T22:45:56Z</dcterms:modified>
</cp:coreProperties>
</file>
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res/Documents/Doctorado unam/Seminario 7mo sem/"/>
    </mc:Choice>
  </mc:AlternateContent>
  <xr:revisionPtr revIDLastSave="0" documentId="13_ncr:1_{7171EA30-56E1-2D4A-ADDF-BCCC977EE2A9}" xr6:coauthVersionLast="47" xr6:coauthVersionMax="47" xr10:uidLastSave="{00000000-0000-0000-0000-000000000000}"/>
  <bookViews>
    <workbookView xWindow="12620" yWindow="500" windowWidth="16180" windowHeight="15820" xr2:uid="{0EF70053-8042-B441-8E43-405A3D22C581}"/>
  </bookViews>
  <sheets>
    <sheet name="GiniEspacial" sheetId="1" r:id="rId1"/>
    <sheet name="Product" sheetId="2" r:id="rId2"/>
    <sheet name="Ingreso" sheetId="3" r:id="rId3"/>
  </sheets>
  <definedNames>
    <definedName name="_xlnm._FilterDatabase" localSheetId="1" hidden="1">Product!$A$1:$N$33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D35" i="3"/>
  <c r="E35" i="3"/>
  <c r="F35" i="3"/>
  <c r="G35" i="3"/>
  <c r="H35" i="3"/>
  <c r="I35" i="3"/>
  <c r="J35" i="3"/>
  <c r="K35" i="3"/>
  <c r="B35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6" i="3"/>
  <c r="N18" i="3"/>
  <c r="N17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6" i="2"/>
  <c r="N18" i="2"/>
  <c r="N17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<sst xmlns="http://schemas.openxmlformats.org/spreadsheetml/2006/main" count="178" uniqueCount="98">
  <si>
    <t>Estado</t>
  </si>
  <si>
    <t>Gesproduct14</t>
  </si>
  <si>
    <t>Gesproduct15</t>
  </si>
  <si>
    <t>Gesproduct16</t>
  </si>
  <si>
    <t>Gesproduct17</t>
  </si>
  <si>
    <t>Gesproduct18</t>
  </si>
  <si>
    <t>Gesproduct19</t>
  </si>
  <si>
    <t>Gesproduct20</t>
  </si>
  <si>
    <t>Gesproduct21</t>
  </si>
  <si>
    <t>Gesproduct22</t>
  </si>
  <si>
    <t>Gesproduct23</t>
  </si>
  <si>
    <t>Gesingr14</t>
  </si>
  <si>
    <t>Gesingr15</t>
  </si>
  <si>
    <t>Gesingr16</t>
  </si>
  <si>
    <t>Gesingr17</t>
  </si>
  <si>
    <t>Gesingr18</t>
  </si>
  <si>
    <t>Gesingr19</t>
  </si>
  <si>
    <t>Gesingr20</t>
  </si>
  <si>
    <t>Gesingr21</t>
  </si>
  <si>
    <t>Gesingr22</t>
  </si>
  <si>
    <t>Gesingr23</t>
  </si>
  <si>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</si>
  <si>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</si>
  <si>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</si>
  <si>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</si>
  <si>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</si>
  <si>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</si>
  <si>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</si>
  <si>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</si>
  <si>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</si>
  <si>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</si>
  <si>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</si>
  <si>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</si>
  <si>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</si>
  <si>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</si>
  <si>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</si>
  <si>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</si>
  <si>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</si>
  <si>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</si>
  <si>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</si>
  <si>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</si>
  <si>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</si>
  <si>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</si>
  <si>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</si>
  <si>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</si>
  <si>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</si>
  <si>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Grafica</t>
  </si>
  <si>
    <t>Porcentaje</t>
  </si>
  <si>
    <t>Grafic</t>
  </si>
  <si>
    <t>Ciudad de México</t>
  </si>
  <si>
    <t>Michoacán de Ocampo</t>
  </si>
  <si>
    <t>México</t>
  </si>
  <si>
    <t>Nuevo León</t>
  </si>
  <si>
    <t>Querétaro</t>
  </si>
  <si>
    <t>San Luis Potosí</t>
  </si>
  <si>
    <t>Yucatán</t>
  </si>
  <si>
    <t>PROMG_i</t>
  </si>
  <si>
    <t>PROMG_p</t>
  </si>
  <si>
    <t>Ciudad de Mexico</t>
  </si>
  <si>
    <t>Michoacan de Ocampo</t>
  </si>
  <si>
    <t>Mexico</t>
  </si>
  <si>
    <t>Nuevo Leon</t>
  </si>
  <si>
    <t>Queretaro</t>
  </si>
  <si>
    <t>San Luis Potosi</t>
  </si>
  <si>
    <t>Yucatan</t>
  </si>
  <si>
    <t>CVE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</si>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</sst>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Product!$A$2</c:f>
              <c:strCache>
                <c:ptCount val="1"/>
                <c:pt idx="0">
                  <c:v>Aguascalientes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28762140-1937-2F45-8205-CD129E32033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0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Product!$B$2:$K$2</c:f>
              <c:numCache>
                <c:formatCode>General</c:formatCode>
                <c:ptCount val="10"/>
                <c:pt idx="0">
                  <c:v>0.12686599700000001</c:v>
                </c:pt>
                <c:pt idx="1">
                  <c:v>0.11329871</c:v>
                </c:pt>
                <c:pt idx="2">
                  <c:v>0.119387112</c:v>
                </c:pt>
                <c:pt idx="3">
                  <c:v>0.113872289</c:v>
                </c:pt>
                <c:pt idx="4">
                  <c:v>0.11016904600000001</c:v>
                </c:pt>
                <c:pt idx="5">
                  <c:v>0.112406857</c:v>
                </c:pt>
                <c:pt idx="6">
                  <c:v>0.116160931</c:v>
                </c:pt>
                <c:pt idx="7">
                  <c:v>0.118659606</c:v>
                </c:pt>
                <c:pt idx="8">
                  <c:v>0.116151693</c:v>
                </c:pt>
                <c:pt idx="9">
                  <c:v>0.116647812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D-9A41-85AF-6456E4CCA0E0}"/>
            </c:ext>
          </c:extLst>
        </c:ser>
        <c:ser>
          <c:idx val="1"/>
          <c:order val="1"/>
          <c:tx>
            <c:strRef>
              <c:f>Product!$A$3</c:f>
              <c:strCache>
                <c:ptCount val="1"/>
                <c:pt idx="0">
                  <c:v>Baja California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6A1AC02-6046-2448-BE1F-0FD4D959EF56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1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Product!$B$3:$K$3</c:f>
              <c:numCache>
                <c:formatCode>General</c:formatCode>
                <c:ptCount val="10"/>
                <c:pt idx="0">
                  <c:v>0.19807887099999999</c:v>
                </c:pt>
                <c:pt idx="1">
                  <c:v>0.18391959299999999</c:v>
                </c:pt>
                <c:pt idx="2">
                  <c:v>0.21362165599999999</c:v>
                </c:pt>
                <c:pt idx="3">
                  <c:v>0.18880855299999999</c:v>
                </c:pt>
                <c:pt idx="4">
                  <c:v>0.20209173799999999</c:v>
                </c:pt>
                <c:pt idx="5">
                  <c:v>0.20359753999999999</c:v>
                </c:pt>
                <c:pt idx="6">
                  <c:v>0.19046586800000001</c:v>
                </c:pt>
                <c:pt idx="7">
                  <c:v>0.20703421999999999</c:v>
                </c:pt>
                <c:pt idx="8">
                  <c:v>0.18720890200000001</c:v>
                </c:pt>
                <c:pt idx="9">
                  <c:v>0.205880493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D-9A41-85AF-6456E4CCA0E0}"/>
            </c:ext>
          </c:extLst>
        </c:ser>
        <c:ser>
          <c:idx val="2"/>
          <c:order val="2"/>
          <c:tx>
            <c:strRef>
              <c:f>Product!$A$4</c:f>
              <c:strCache>
                <c:ptCount val="1"/>
                <c:pt idx="0">
                  <c:v>Baja California Sur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r>
                      <a:rPr lang="en-US" baseline="0"/>
                      <a:t>, 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Product!$B$4:$K$4</c:f>
              <c:numCache>
                <c:formatCode>General</c:formatCode>
                <c:ptCount val="10"/>
                <c:pt idx="0">
                  <c:v>0.133805166</c:v>
                </c:pt>
                <c:pt idx="1">
                  <c:v>0.13935365199999999</c:v>
                </c:pt>
                <c:pt idx="2">
                  <c:v>0.146812055</c:v>
                </c:pt>
                <c:pt idx="3">
                  <c:v>0.11475700799999999</c:v>
                </c:pt>
                <c:pt idx="4">
                  <c:v>0.12294308900000001</c:v>
                </c:pt>
                <c:pt idx="5">
                  <c:v>0.14819926899999999</c:v>
                </c:pt>
                <c:pt idx="6">
                  <c:v>0.119317116</c:v>
                </c:pt>
                <c:pt idx="7">
                  <c:v>0.13336077700000001</c:v>
                </c:pt>
                <c:pt idx="8">
                  <c:v>0.131736612</c:v>
                </c:pt>
                <c:pt idx="9">
                  <c:v>0.114000111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D-9A41-85AF-6456E4CCA0E0}"/>
            </c:ext>
          </c:extLst>
        </c:ser>
        <c:ser>
          <c:idx val="3"/>
          <c:order val="3"/>
          <c:tx>
            <c:strRef>
              <c:f>Product!$A$5</c:f>
              <c:strCache>
                <c:ptCount val="1"/>
                <c:pt idx="0">
                  <c:v>Campeche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A49A065-51E6-8A42-9E6D-2692A157C995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3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Product!$B$5:$K$5</c:f>
              <c:numCache>
                <c:formatCode>General</c:formatCode>
                <c:ptCount val="10"/>
                <c:pt idx="0">
                  <c:v>0.18877809400000001</c:v>
                </c:pt>
                <c:pt idx="1">
                  <c:v>0.18633317599999999</c:v>
                </c:pt>
                <c:pt idx="2">
                  <c:v>0.19447667599999999</c:v>
                </c:pt>
                <c:pt idx="3">
                  <c:v>0.181079715</c:v>
                </c:pt>
                <c:pt idx="4">
                  <c:v>0.16456364800000001</c:v>
                </c:pt>
                <c:pt idx="5">
                  <c:v>0.174267539</c:v>
                </c:pt>
                <c:pt idx="6">
                  <c:v>0.17364749700000001</c:v>
                </c:pt>
                <c:pt idx="7">
                  <c:v>0.159379727</c:v>
                </c:pt>
                <c:pt idx="8">
                  <c:v>0.16643401399999999</c:v>
                </c:pt>
                <c:pt idx="9">
                  <c:v>0.15321097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D-9A41-85AF-6456E4CCA0E0}"/>
            </c:ext>
          </c:extLst>
        </c:ser>
        <c:ser>
          <c:idx val="4"/>
          <c:order val="4"/>
          <c:tx>
            <c:strRef>
              <c:f>Product!$A$6</c:f>
              <c:strCache>
                <c:ptCount val="1"/>
                <c:pt idx="0">
                  <c:v>Chiapas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ED2DFD2F-009E-8B43-90C0-8BB669362C5F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Product!$B$6:$K$6</c:f>
              <c:numCache>
                <c:formatCode>General</c:formatCode>
                <c:ptCount val="10"/>
                <c:pt idx="0">
                  <c:v>8.1406939999999997E-2</c:v>
                </c:pt>
                <c:pt idx="1">
                  <c:v>8.1270550999999996E-2</c:v>
                </c:pt>
                <c:pt idx="2">
                  <c:v>8.2097435999999996E-2</c:v>
                </c:pt>
                <c:pt idx="3">
                  <c:v>7.8326935E-2</c:v>
                </c:pt>
                <c:pt idx="4">
                  <c:v>7.6024667000000004E-2</c:v>
                </c:pt>
                <c:pt idx="5">
                  <c:v>7.8221587999999995E-2</c:v>
                </c:pt>
                <c:pt idx="6">
                  <c:v>7.9279934999999996E-2</c:v>
                </c:pt>
                <c:pt idx="7">
                  <c:v>8.2834783999999995E-2</c:v>
                </c:pt>
                <c:pt idx="8">
                  <c:v>7.8871501999999996E-2</c:v>
                </c:pt>
                <c:pt idx="9">
                  <c:v>7.8294190999999999E-2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D-9A41-85AF-6456E4CCA0E0}"/>
            </c:ext>
          </c:extLst>
        </c:ser>
        <c:ser>
          <c:idx val="5"/>
          <c:order val="5"/>
          <c:tx>
            <c:strRef>
              <c:f>Product!$A$7</c:f>
              <c:strCache>
                <c:ptCount val="1"/>
                <c:pt idx="0">
                  <c:v>Chihuahua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596F59D2-51FD-6C4B-8BDF-729DD75C3D21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5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Product!$B$7:$K$7</c:f>
              <c:numCache>
                <c:formatCode>General</c:formatCode>
                <c:ptCount val="10"/>
                <c:pt idx="0">
                  <c:v>9.7768499999999994E-2</c:v>
                </c:pt>
                <c:pt idx="1">
                  <c:v>9.1945431999999994E-2</c:v>
                </c:pt>
                <c:pt idx="2">
                  <c:v>9.3880271000000001E-2</c:v>
                </c:pt>
                <c:pt idx="3">
                  <c:v>8.9037656000000007E-2</c:v>
                </c:pt>
                <c:pt idx="4">
                  <c:v>9.3417641999999995E-2</c:v>
                </c:pt>
                <c:pt idx="5">
                  <c:v>9.4900752000000005E-2</c:v>
                </c:pt>
                <c:pt idx="6">
                  <c:v>9.3417170999999993E-2</c:v>
                </c:pt>
                <c:pt idx="7">
                  <c:v>9.3396379000000002E-2</c:v>
                </c:pt>
                <c:pt idx="8">
                  <c:v>9.0471444999999998E-2</c:v>
                </c:pt>
                <c:pt idx="9">
                  <c:v>9.7430010999999997E-2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3D-9A41-85AF-6456E4CCA0E0}"/>
            </c:ext>
          </c:extLst>
        </c:ser>
        <c:ser>
          <c:idx val="6"/>
          <c:order val="6"/>
          <c:tx>
            <c:strRef>
              <c:f>Product!$A$8</c:f>
              <c:strCache>
                <c:ptCount val="1"/>
                <c:pt idx="0">
                  <c:v>Ciudad de México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702A683-CB15-0940-B7D9-D107DC427E52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Product!$B$8:$K$8</c:f>
              <c:numCache>
                <c:formatCode>General</c:formatCode>
                <c:ptCount val="10"/>
                <c:pt idx="0">
                  <c:v>0.14054030000000001</c:v>
                </c:pt>
                <c:pt idx="1">
                  <c:v>0.15394845099999999</c:v>
                </c:pt>
                <c:pt idx="2">
                  <c:v>0.158278435</c:v>
                </c:pt>
                <c:pt idx="3">
                  <c:v>0.14809835399999999</c:v>
                </c:pt>
                <c:pt idx="4">
                  <c:v>0.15631367099999999</c:v>
                </c:pt>
                <c:pt idx="5">
                  <c:v>0.154700698</c:v>
                </c:pt>
                <c:pt idx="6">
                  <c:v>0.132079575</c:v>
                </c:pt>
                <c:pt idx="7">
                  <c:v>0.14183801200000001</c:v>
                </c:pt>
                <c:pt idx="8">
                  <c:v>0.16857847000000001</c:v>
                </c:pt>
                <c:pt idx="9">
                  <c:v>0.15763407700000001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3D-9A41-85AF-6456E4CCA0E0}"/>
            </c:ext>
          </c:extLst>
        </c:ser>
        <c:ser>
          <c:idx val="7"/>
          <c:order val="7"/>
          <c:tx>
            <c:strRef>
              <c:f>Product!$A$9</c:f>
              <c:strCache>
                <c:ptCount val="1"/>
                <c:pt idx="0">
                  <c:v>Coahuila de Zaragoza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C1A8C241-45D4-AB4B-BDBD-3F3F5123C8F0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7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Product!$B$9:$K$9</c:f>
              <c:numCache>
                <c:formatCode>General</c:formatCode>
                <c:ptCount val="10"/>
                <c:pt idx="0">
                  <c:v>0.141193914</c:v>
                </c:pt>
                <c:pt idx="1">
                  <c:v>0.137588925</c:v>
                </c:pt>
                <c:pt idx="2">
                  <c:v>0.13040907900000001</c:v>
                </c:pt>
                <c:pt idx="3">
                  <c:v>0.13937959999999999</c:v>
                </c:pt>
                <c:pt idx="4">
                  <c:v>0.14059163499999999</c:v>
                </c:pt>
                <c:pt idx="5">
                  <c:v>0.13936278399999999</c:v>
                </c:pt>
                <c:pt idx="6">
                  <c:v>0.13760234499999999</c:v>
                </c:pt>
                <c:pt idx="7">
                  <c:v>0.14403101300000001</c:v>
                </c:pt>
                <c:pt idx="8">
                  <c:v>0.136220601</c:v>
                </c:pt>
                <c:pt idx="9">
                  <c:v>0.13563630300000001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3D-9A41-85AF-6456E4CCA0E0}"/>
            </c:ext>
          </c:extLst>
        </c:ser>
        <c:ser>
          <c:idx val="8"/>
          <c:order val="8"/>
          <c:tx>
            <c:strRef>
              <c:f>Product!$A$10</c:f>
              <c:strCache>
                <c:ptCount val="1"/>
                <c:pt idx="0">
                  <c:v>Colima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F389AF7-0AD2-7E40-8A4B-2C1C1C03D8FC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8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Product!$B$10:$K$10</c:f>
              <c:numCache>
                <c:formatCode>General</c:formatCode>
                <c:ptCount val="10"/>
                <c:pt idx="0">
                  <c:v>0.12931182699999999</c:v>
                </c:pt>
                <c:pt idx="1">
                  <c:v>0.13301764699999999</c:v>
                </c:pt>
                <c:pt idx="2">
                  <c:v>0.13065146</c:v>
                </c:pt>
                <c:pt idx="3">
                  <c:v>0.140353229</c:v>
                </c:pt>
                <c:pt idx="4">
                  <c:v>0.131738299</c:v>
                </c:pt>
                <c:pt idx="5">
                  <c:v>0.13898439800000001</c:v>
                </c:pt>
                <c:pt idx="6">
                  <c:v>0.12377946500000001</c:v>
                </c:pt>
                <c:pt idx="7">
                  <c:v>0.13386388499999999</c:v>
                </c:pt>
                <c:pt idx="8">
                  <c:v>0.124118756</c:v>
                </c:pt>
                <c:pt idx="9">
                  <c:v>0.142438708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3D-9A41-85AF-6456E4CCA0E0}"/>
            </c:ext>
          </c:extLst>
        </c:ser>
        <c:ser>
          <c:idx val="9"/>
          <c:order val="9"/>
          <c:tx>
            <c:strRef>
              <c:f>Product!$A$11</c:f>
              <c:strCache>
                <c:ptCount val="1"/>
                <c:pt idx="0">
                  <c:v>Durango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55AD6465-7E1B-DB44-8CA0-D83981C3F787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9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Product!$B$11:$K$11</c:f>
              <c:numCache>
                <c:formatCode>General</c:formatCode>
                <c:ptCount val="10"/>
                <c:pt idx="0">
                  <c:v>9.8894503999999994E-2</c:v>
                </c:pt>
                <c:pt idx="1">
                  <c:v>9.3469747000000006E-2</c:v>
                </c:pt>
                <c:pt idx="2">
                  <c:v>9.0643462999999994E-2</c:v>
                </c:pt>
                <c:pt idx="3">
                  <c:v>9.0914043999999999E-2</c:v>
                </c:pt>
                <c:pt idx="4">
                  <c:v>9.6258134999999995E-2</c:v>
                </c:pt>
                <c:pt idx="5">
                  <c:v>9.6889343000000003E-2</c:v>
                </c:pt>
                <c:pt idx="6">
                  <c:v>9.0785632000000005E-2</c:v>
                </c:pt>
                <c:pt idx="7">
                  <c:v>8.8317577999999994E-2</c:v>
                </c:pt>
                <c:pt idx="8">
                  <c:v>8.9054816999999994E-2</c:v>
                </c:pt>
                <c:pt idx="9">
                  <c:v>9.4786899999999993E-2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3D-9A41-85AF-6456E4CCA0E0}"/>
            </c:ext>
          </c:extLst>
        </c:ser>
        <c:ser>
          <c:idx val="10"/>
          <c:order val="10"/>
          <c:tx>
            <c:strRef>
              <c:f>Product!$A$12</c:f>
              <c:strCache>
                <c:ptCount val="1"/>
                <c:pt idx="0">
                  <c:v>Guanajuato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2719D12B-02F7-A248-957C-FBC53FC93CB6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A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Product!$B$12:$K$12</c:f>
              <c:numCache>
                <c:formatCode>General</c:formatCode>
                <c:ptCount val="10"/>
                <c:pt idx="0">
                  <c:v>0.10776435500000001</c:v>
                </c:pt>
                <c:pt idx="1">
                  <c:v>0.10654269299999999</c:v>
                </c:pt>
                <c:pt idx="2">
                  <c:v>0.10580838400000001</c:v>
                </c:pt>
                <c:pt idx="3">
                  <c:v>0.11117196</c:v>
                </c:pt>
                <c:pt idx="4">
                  <c:v>0.110221924</c:v>
                </c:pt>
                <c:pt idx="5">
                  <c:v>0.10572342</c:v>
                </c:pt>
                <c:pt idx="6">
                  <c:v>0.103728559</c:v>
                </c:pt>
                <c:pt idx="7">
                  <c:v>0.105706283</c:v>
                </c:pt>
                <c:pt idx="8">
                  <c:v>0.103806967</c:v>
                </c:pt>
                <c:pt idx="9">
                  <c:v>0.107816963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3D-9A41-85AF-6456E4CCA0E0}"/>
            </c:ext>
          </c:extLst>
        </c:ser>
        <c:ser>
          <c:idx val="11"/>
          <c:order val="11"/>
          <c:tx>
            <c:strRef>
              <c:f>Product!$A$13</c:f>
              <c:strCache>
                <c:ptCount val="1"/>
                <c:pt idx="0">
                  <c:v>Guerrero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758CD4E7-1CEA-4B48-9965-F9E009641E76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B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Product!$B$13:$K$13</c:f>
              <c:numCache>
                <c:formatCode>General</c:formatCode>
                <c:ptCount val="10"/>
                <c:pt idx="0">
                  <c:v>7.9034071999999997E-2</c:v>
                </c:pt>
                <c:pt idx="1">
                  <c:v>8.0435057000000004E-2</c:v>
                </c:pt>
                <c:pt idx="2">
                  <c:v>7.7832164999999995E-2</c:v>
                </c:pt>
                <c:pt idx="3">
                  <c:v>7.7746423999999995E-2</c:v>
                </c:pt>
                <c:pt idx="4">
                  <c:v>8.0480024999999997E-2</c:v>
                </c:pt>
                <c:pt idx="5">
                  <c:v>7.8684538999999998E-2</c:v>
                </c:pt>
                <c:pt idx="6">
                  <c:v>7.3921047000000004E-2</c:v>
                </c:pt>
                <c:pt idx="7">
                  <c:v>7.7260743000000007E-2</c:v>
                </c:pt>
                <c:pt idx="8">
                  <c:v>7.4693421999999995E-2</c:v>
                </c:pt>
                <c:pt idx="9">
                  <c:v>7.7101618999999996E-2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3D-9A41-85AF-6456E4CCA0E0}"/>
            </c:ext>
          </c:extLst>
        </c:ser>
        <c:ser>
          <c:idx val="12"/>
          <c:order val="12"/>
          <c:tx>
            <c:strRef>
              <c:f>Product!$A$14</c:f>
              <c:strCache>
                <c:ptCount val="1"/>
                <c:pt idx="0">
                  <c:v>Hidalgo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386CE3C9-7932-0C48-9644-2343EDFDC190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C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Product!$B$14:$K$14</c:f>
              <c:numCache>
                <c:formatCode>General</c:formatCode>
                <c:ptCount val="10"/>
                <c:pt idx="0">
                  <c:v>7.4466492999999995E-2</c:v>
                </c:pt>
                <c:pt idx="1">
                  <c:v>7.1699732000000002E-2</c:v>
                </c:pt>
                <c:pt idx="2">
                  <c:v>6.9322831000000001E-2</c:v>
                </c:pt>
                <c:pt idx="3">
                  <c:v>7.3121040999999998E-2</c:v>
                </c:pt>
                <c:pt idx="4">
                  <c:v>7.5211265999999999E-2</c:v>
                </c:pt>
                <c:pt idx="5">
                  <c:v>7.2477430999999995E-2</c:v>
                </c:pt>
                <c:pt idx="6">
                  <c:v>7.1067617E-2</c:v>
                </c:pt>
                <c:pt idx="7">
                  <c:v>7.4620496999999994E-2</c:v>
                </c:pt>
                <c:pt idx="8">
                  <c:v>7.2456188000000005E-2</c:v>
                </c:pt>
                <c:pt idx="9">
                  <c:v>7.2587874999999996E-2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3D-9A41-85AF-6456E4CCA0E0}"/>
            </c:ext>
          </c:extLst>
        </c:ser>
        <c:ser>
          <c:idx val="13"/>
          <c:order val="13"/>
          <c:tx>
            <c:strRef>
              <c:f>Product!$A$15</c:f>
              <c:strCache>
                <c:ptCount val="1"/>
                <c:pt idx="0">
                  <c:v>Jalisco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6A7CCC7C-F233-8149-8727-7C9323D0ED0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D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Product!$B$15:$K$15</c:f>
              <c:numCache>
                <c:formatCode>General</c:formatCode>
                <c:ptCount val="10"/>
                <c:pt idx="0">
                  <c:v>8.5167904000000003E-2</c:v>
                </c:pt>
                <c:pt idx="1">
                  <c:v>8.4093360000000006E-2</c:v>
                </c:pt>
                <c:pt idx="2">
                  <c:v>8.2193843000000003E-2</c:v>
                </c:pt>
                <c:pt idx="3">
                  <c:v>8.2352135000000007E-2</c:v>
                </c:pt>
                <c:pt idx="4">
                  <c:v>8.4127286999999995E-2</c:v>
                </c:pt>
                <c:pt idx="5">
                  <c:v>8.2966605999999998E-2</c:v>
                </c:pt>
                <c:pt idx="6">
                  <c:v>8.1132738999999995E-2</c:v>
                </c:pt>
                <c:pt idx="7">
                  <c:v>8.5769588999999993E-2</c:v>
                </c:pt>
                <c:pt idx="8">
                  <c:v>8.0811589000000003E-2</c:v>
                </c:pt>
                <c:pt idx="9">
                  <c:v>8.5622089999999998E-2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3D-9A41-85AF-6456E4CCA0E0}"/>
            </c:ext>
          </c:extLst>
        </c:ser>
        <c:ser>
          <c:idx val="14"/>
          <c:order val="14"/>
          <c:tx>
            <c:strRef>
              <c:f>Product!$A$16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C3E7C9BD-5AE0-674C-957B-623410173C8D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E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Product!$B$16:$K$16</c:f>
              <c:numCache>
                <c:formatCode>General</c:formatCode>
                <c:ptCount val="10"/>
                <c:pt idx="0">
                  <c:v>9.2066920999999996E-2</c:v>
                </c:pt>
                <c:pt idx="1">
                  <c:v>9.4524266999999995E-2</c:v>
                </c:pt>
                <c:pt idx="2">
                  <c:v>9.4002402999999998E-2</c:v>
                </c:pt>
                <c:pt idx="3">
                  <c:v>9.5363727999999995E-2</c:v>
                </c:pt>
                <c:pt idx="4">
                  <c:v>9.5861940000000007E-2</c:v>
                </c:pt>
                <c:pt idx="5">
                  <c:v>9.5949494999999996E-2</c:v>
                </c:pt>
                <c:pt idx="6">
                  <c:v>9.4445588999999996E-2</c:v>
                </c:pt>
                <c:pt idx="7">
                  <c:v>9.6500791000000002E-2</c:v>
                </c:pt>
                <c:pt idx="8">
                  <c:v>9.3009656999999996E-2</c:v>
                </c:pt>
                <c:pt idx="9">
                  <c:v>9.5167926999999999E-2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3D-9A41-85AF-6456E4CCA0E0}"/>
            </c:ext>
          </c:extLst>
        </c:ser>
        <c:ser>
          <c:idx val="15"/>
          <c:order val="15"/>
          <c:tx>
            <c:strRef>
              <c:f>Product!$A$17</c:f>
              <c:strCache>
                <c:ptCount val="1"/>
                <c:pt idx="0">
                  <c:v>Michoacán de Ocampo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9D134D5-8F5E-AE48-AB78-5834F1F9922C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F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Product!$B$17:$K$17</c:f>
              <c:numCache>
                <c:formatCode>General</c:formatCode>
                <c:ptCount val="10"/>
                <c:pt idx="0">
                  <c:v>6.9095691000000001E-2</c:v>
                </c:pt>
                <c:pt idx="1">
                  <c:v>6.8106951999999998E-2</c:v>
                </c:pt>
                <c:pt idx="2">
                  <c:v>6.9275354999999997E-2</c:v>
                </c:pt>
                <c:pt idx="3">
                  <c:v>6.7084815000000006E-2</c:v>
                </c:pt>
                <c:pt idx="4">
                  <c:v>6.7979693999999993E-2</c:v>
                </c:pt>
                <c:pt idx="5">
                  <c:v>6.6659236999999996E-2</c:v>
                </c:pt>
                <c:pt idx="6">
                  <c:v>6.8158801000000005E-2</c:v>
                </c:pt>
                <c:pt idx="7">
                  <c:v>6.9682632999999994E-2</c:v>
                </c:pt>
                <c:pt idx="8">
                  <c:v>6.6529174999999996E-2</c:v>
                </c:pt>
                <c:pt idx="9">
                  <c:v>6.8615582999999994E-2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B3D-9A41-85AF-6456E4CCA0E0}"/>
            </c:ext>
          </c:extLst>
        </c:ser>
        <c:ser>
          <c:idx val="16"/>
          <c:order val="16"/>
          <c:tx>
            <c:strRef>
              <c:f>Product!$A$18</c:f>
              <c:strCache>
                <c:ptCount val="1"/>
                <c:pt idx="0">
                  <c:v>Morelos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3C495A5C-CAA4-764E-90E1-962CE97777B5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0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Product!$B$18:$K$18</c:f>
              <c:numCache>
                <c:formatCode>General</c:formatCode>
                <c:ptCount val="10"/>
                <c:pt idx="0">
                  <c:v>9.9581627000000006E-2</c:v>
                </c:pt>
                <c:pt idx="1">
                  <c:v>0.100012982</c:v>
                </c:pt>
                <c:pt idx="2">
                  <c:v>0.10222727500000001</c:v>
                </c:pt>
                <c:pt idx="3">
                  <c:v>9.4882000999999994E-2</c:v>
                </c:pt>
                <c:pt idx="4">
                  <c:v>9.5261720999999994E-2</c:v>
                </c:pt>
                <c:pt idx="5">
                  <c:v>9.2978948000000006E-2</c:v>
                </c:pt>
                <c:pt idx="6">
                  <c:v>9.2819398999999997E-2</c:v>
                </c:pt>
                <c:pt idx="7">
                  <c:v>9.9460530000000005E-2</c:v>
                </c:pt>
                <c:pt idx="8">
                  <c:v>8.8284915000000005E-2</c:v>
                </c:pt>
                <c:pt idx="9">
                  <c:v>9.3471580999999998E-2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B3D-9A41-85AF-6456E4CCA0E0}"/>
            </c:ext>
          </c:extLst>
        </c:ser>
        <c:ser>
          <c:idx val="17"/>
          <c:order val="17"/>
          <c:tx>
            <c:strRef>
              <c:f>Product!$A$19</c:f>
              <c:strCache>
                <c:ptCount val="1"/>
                <c:pt idx="0">
                  <c:v>Nayarit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7102E0E9-9C84-D646-B0E1-733405B0545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1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Product!$B$19:$K$19</c:f>
              <c:numCache>
                <c:formatCode>General</c:formatCode>
                <c:ptCount val="10"/>
                <c:pt idx="0">
                  <c:v>0.100841546</c:v>
                </c:pt>
                <c:pt idx="1">
                  <c:v>8.8294958000000007E-2</c:v>
                </c:pt>
                <c:pt idx="2">
                  <c:v>8.1611890000000006E-2</c:v>
                </c:pt>
                <c:pt idx="3">
                  <c:v>8.9273198999999998E-2</c:v>
                </c:pt>
                <c:pt idx="4">
                  <c:v>8.4462354000000003E-2</c:v>
                </c:pt>
                <c:pt idx="5">
                  <c:v>8.4010639999999998E-2</c:v>
                </c:pt>
                <c:pt idx="6">
                  <c:v>7.8188855000000002E-2</c:v>
                </c:pt>
                <c:pt idx="7">
                  <c:v>8.5334006000000004E-2</c:v>
                </c:pt>
                <c:pt idx="8">
                  <c:v>8.0576338999999997E-2</c:v>
                </c:pt>
                <c:pt idx="9">
                  <c:v>7.8647218000000005E-2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B3D-9A41-85AF-6456E4CCA0E0}"/>
            </c:ext>
          </c:extLst>
        </c:ser>
        <c:ser>
          <c:idx val="18"/>
          <c:order val="18"/>
          <c:tx>
            <c:strRef>
              <c:f>Product!$A$20</c:f>
              <c:strCache>
                <c:ptCount val="1"/>
                <c:pt idx="0">
                  <c:v>Nuevo León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C595B511-FD68-2F47-BC1D-3021BD8749F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Product!$B$20:$K$20</c:f>
              <c:numCache>
                <c:formatCode>General</c:formatCode>
                <c:ptCount val="10"/>
                <c:pt idx="0">
                  <c:v>0.14435283199999999</c:v>
                </c:pt>
                <c:pt idx="1">
                  <c:v>0.14034442599999999</c:v>
                </c:pt>
                <c:pt idx="2">
                  <c:v>0.13987575299999999</c:v>
                </c:pt>
                <c:pt idx="3">
                  <c:v>0.142057568</c:v>
                </c:pt>
                <c:pt idx="4">
                  <c:v>0.144793801</c:v>
                </c:pt>
                <c:pt idx="5">
                  <c:v>0.139314351</c:v>
                </c:pt>
                <c:pt idx="6">
                  <c:v>0.139247238</c:v>
                </c:pt>
                <c:pt idx="7">
                  <c:v>0.13716583399999999</c:v>
                </c:pt>
                <c:pt idx="8">
                  <c:v>0.139675041</c:v>
                </c:pt>
                <c:pt idx="9">
                  <c:v>0.143194453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B3D-9A41-85AF-6456E4CCA0E0}"/>
            </c:ext>
          </c:extLst>
        </c:ser>
        <c:ser>
          <c:idx val="19"/>
          <c:order val="19"/>
          <c:tx>
            <c:strRef>
              <c:f>Product!$A$21</c:f>
              <c:strCache>
                <c:ptCount val="1"/>
                <c:pt idx="0">
                  <c:v>Oaxaca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07CC7DD-3D74-9945-BFB0-C01384876EE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3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Product!$B$21:$K$21</c:f>
              <c:numCache>
                <c:formatCode>General</c:formatCode>
                <c:ptCount val="10"/>
                <c:pt idx="0">
                  <c:v>8.9215608000000002E-2</c:v>
                </c:pt>
                <c:pt idx="1">
                  <c:v>9.0343381E-2</c:v>
                </c:pt>
                <c:pt idx="2">
                  <c:v>8.7839623000000006E-2</c:v>
                </c:pt>
                <c:pt idx="3">
                  <c:v>8.8205104000000006E-2</c:v>
                </c:pt>
                <c:pt idx="4">
                  <c:v>8.6878172000000004E-2</c:v>
                </c:pt>
                <c:pt idx="5">
                  <c:v>8.6137195E-2</c:v>
                </c:pt>
                <c:pt idx="6">
                  <c:v>8.4314811000000003E-2</c:v>
                </c:pt>
                <c:pt idx="7">
                  <c:v>8.6233246999999999E-2</c:v>
                </c:pt>
                <c:pt idx="8">
                  <c:v>8.8169444999999999E-2</c:v>
                </c:pt>
                <c:pt idx="9">
                  <c:v>8.9269243999999998E-2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B3D-9A41-85AF-6456E4CCA0E0}"/>
            </c:ext>
          </c:extLst>
        </c:ser>
        <c:ser>
          <c:idx val="20"/>
          <c:order val="20"/>
          <c:tx>
            <c:strRef>
              <c:f>Product!$A$22</c:f>
              <c:strCache>
                <c:ptCount val="1"/>
                <c:pt idx="0">
                  <c:v>Puebla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5411D32-C5F3-A94E-99E6-CB1C32DBFAD2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4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Product!$B$22:$K$22</c:f>
              <c:numCache>
                <c:formatCode>General</c:formatCode>
                <c:ptCount val="10"/>
                <c:pt idx="0">
                  <c:v>7.7310181000000006E-2</c:v>
                </c:pt>
                <c:pt idx="1">
                  <c:v>7.8503040999999996E-2</c:v>
                </c:pt>
                <c:pt idx="2">
                  <c:v>7.4769241E-2</c:v>
                </c:pt>
                <c:pt idx="3">
                  <c:v>7.3886587000000004E-2</c:v>
                </c:pt>
                <c:pt idx="4">
                  <c:v>7.8326661000000006E-2</c:v>
                </c:pt>
                <c:pt idx="5">
                  <c:v>7.8564903000000005E-2</c:v>
                </c:pt>
                <c:pt idx="6">
                  <c:v>7.4765973999999999E-2</c:v>
                </c:pt>
                <c:pt idx="7">
                  <c:v>7.6595698000000004E-2</c:v>
                </c:pt>
                <c:pt idx="8">
                  <c:v>7.4951636000000002E-2</c:v>
                </c:pt>
                <c:pt idx="9">
                  <c:v>7.6406629000000004E-2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B3D-9A41-85AF-6456E4CCA0E0}"/>
            </c:ext>
          </c:extLst>
        </c:ser>
        <c:ser>
          <c:idx val="21"/>
          <c:order val="21"/>
          <c:tx>
            <c:strRef>
              <c:f>Product!$A$23</c:f>
              <c:strCache>
                <c:ptCount val="1"/>
                <c:pt idx="0">
                  <c:v>Querétaro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2CF023FF-77FA-F348-BC6B-663C4E47E83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5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Product!$B$23:$K$23</c:f>
              <c:numCache>
                <c:formatCode>General</c:formatCode>
                <c:ptCount val="10"/>
                <c:pt idx="0">
                  <c:v>0.118678783</c:v>
                </c:pt>
                <c:pt idx="1">
                  <c:v>0.131510762</c:v>
                </c:pt>
                <c:pt idx="2">
                  <c:v>0.114911396</c:v>
                </c:pt>
                <c:pt idx="3">
                  <c:v>0.116108685</c:v>
                </c:pt>
                <c:pt idx="4">
                  <c:v>0.117609925</c:v>
                </c:pt>
                <c:pt idx="5">
                  <c:v>0.13101187</c:v>
                </c:pt>
                <c:pt idx="6">
                  <c:v>0.118851677</c:v>
                </c:pt>
                <c:pt idx="7">
                  <c:v>0.12398743399999999</c:v>
                </c:pt>
                <c:pt idx="8">
                  <c:v>0.126072609</c:v>
                </c:pt>
                <c:pt idx="9">
                  <c:v>0.118323593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B3D-9A41-85AF-6456E4CCA0E0}"/>
            </c:ext>
          </c:extLst>
        </c:ser>
        <c:ser>
          <c:idx val="22"/>
          <c:order val="22"/>
          <c:tx>
            <c:strRef>
              <c:f>Product!$A$24</c:f>
              <c:strCache>
                <c:ptCount val="1"/>
                <c:pt idx="0">
                  <c:v>Quintana Roo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2C0C57E-F251-B54B-8806-C278B9B5F5F6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6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Product!$B$24:$K$24</c:f>
              <c:numCache>
                <c:formatCode>General</c:formatCode>
                <c:ptCount val="10"/>
                <c:pt idx="0">
                  <c:v>0.13019344999999999</c:v>
                </c:pt>
                <c:pt idx="1">
                  <c:v>0.137105158</c:v>
                </c:pt>
                <c:pt idx="2">
                  <c:v>0.120012378</c:v>
                </c:pt>
                <c:pt idx="3">
                  <c:v>0.119842611</c:v>
                </c:pt>
                <c:pt idx="4">
                  <c:v>0.13921979200000001</c:v>
                </c:pt>
                <c:pt idx="5">
                  <c:v>0.129576789</c:v>
                </c:pt>
                <c:pt idx="6">
                  <c:v>0.13061969300000001</c:v>
                </c:pt>
                <c:pt idx="7">
                  <c:v>0.12695740799999999</c:v>
                </c:pt>
                <c:pt idx="8">
                  <c:v>0.115522758</c:v>
                </c:pt>
                <c:pt idx="9">
                  <c:v>0.133432415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3D-9A41-85AF-6456E4CCA0E0}"/>
            </c:ext>
          </c:extLst>
        </c:ser>
        <c:ser>
          <c:idx val="23"/>
          <c:order val="23"/>
          <c:tx>
            <c:strRef>
              <c:f>Product!$A$25</c:f>
              <c:strCache>
                <c:ptCount val="1"/>
                <c:pt idx="0">
                  <c:v>San Luis Potosí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6EBFBB72-F142-A649-BE34-5C9042A22FAE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7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Product!$B$25:$K$25</c:f>
              <c:numCache>
                <c:formatCode>General</c:formatCode>
                <c:ptCount val="10"/>
                <c:pt idx="0">
                  <c:v>7.7244776000000001E-2</c:v>
                </c:pt>
                <c:pt idx="1">
                  <c:v>8.0331711E-2</c:v>
                </c:pt>
                <c:pt idx="2">
                  <c:v>7.6118498000000007E-2</c:v>
                </c:pt>
                <c:pt idx="3">
                  <c:v>7.3909854999999997E-2</c:v>
                </c:pt>
                <c:pt idx="4">
                  <c:v>8.4132705000000002E-2</c:v>
                </c:pt>
                <c:pt idx="5">
                  <c:v>8.1654102000000006E-2</c:v>
                </c:pt>
                <c:pt idx="6">
                  <c:v>7.2451907999999995E-2</c:v>
                </c:pt>
                <c:pt idx="7">
                  <c:v>7.8539443E-2</c:v>
                </c:pt>
                <c:pt idx="8">
                  <c:v>7.5462407999999995E-2</c:v>
                </c:pt>
                <c:pt idx="9">
                  <c:v>7.7396619999999999E-2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B3D-9A41-85AF-6456E4CCA0E0}"/>
            </c:ext>
          </c:extLst>
        </c:ser>
        <c:ser>
          <c:idx val="24"/>
          <c:order val="24"/>
          <c:tx>
            <c:strRef>
              <c:f>Product!$A$26</c:f>
              <c:strCache>
                <c:ptCount val="1"/>
                <c:pt idx="0">
                  <c:v>Sinaloa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Product!$B$26:$K$26</c:f>
              <c:numCache>
                <c:formatCode>General</c:formatCode>
                <c:ptCount val="10"/>
                <c:pt idx="0">
                  <c:v>0.111964286</c:v>
                </c:pt>
                <c:pt idx="1">
                  <c:v>0.120109295</c:v>
                </c:pt>
                <c:pt idx="2">
                  <c:v>0.114216552</c:v>
                </c:pt>
                <c:pt idx="3">
                  <c:v>0.120209944</c:v>
                </c:pt>
                <c:pt idx="4">
                  <c:v>0.12415097</c:v>
                </c:pt>
                <c:pt idx="5">
                  <c:v>0.11973376600000001</c:v>
                </c:pt>
                <c:pt idx="6">
                  <c:v>0.111555855</c:v>
                </c:pt>
                <c:pt idx="7">
                  <c:v>0.12540684999999999</c:v>
                </c:pt>
                <c:pt idx="8">
                  <c:v>0.11380562</c:v>
                </c:pt>
                <c:pt idx="9">
                  <c:v>0.115526622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B3D-9A41-85AF-6456E4CCA0E0}"/>
            </c:ext>
          </c:extLst>
        </c:ser>
        <c:ser>
          <c:idx val="25"/>
          <c:order val="25"/>
          <c:tx>
            <c:strRef>
              <c:f>Product!$A$27</c:f>
              <c:strCache>
                <c:ptCount val="1"/>
                <c:pt idx="0">
                  <c:v>Sonora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A8066D28-4CF5-4D43-83FC-5B6DC5877BCD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9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Product!$B$27:$K$27</c:f>
              <c:numCache>
                <c:formatCode>General</c:formatCode>
                <c:ptCount val="10"/>
                <c:pt idx="0">
                  <c:v>0.113861578</c:v>
                </c:pt>
                <c:pt idx="1">
                  <c:v>0.119384852</c:v>
                </c:pt>
                <c:pt idx="2">
                  <c:v>0.113537552</c:v>
                </c:pt>
                <c:pt idx="3">
                  <c:v>0.117805141</c:v>
                </c:pt>
                <c:pt idx="4">
                  <c:v>0.114798805</c:v>
                </c:pt>
                <c:pt idx="5">
                  <c:v>0.118495516</c:v>
                </c:pt>
                <c:pt idx="6">
                  <c:v>0.113892169</c:v>
                </c:pt>
                <c:pt idx="7">
                  <c:v>0.11622352800000001</c:v>
                </c:pt>
                <c:pt idx="8">
                  <c:v>0.111809415</c:v>
                </c:pt>
                <c:pt idx="9">
                  <c:v>0.11715413099999999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B3D-9A41-85AF-6456E4CCA0E0}"/>
            </c:ext>
          </c:extLst>
        </c:ser>
        <c:ser>
          <c:idx val="26"/>
          <c:order val="26"/>
          <c:tx>
            <c:strRef>
              <c:f>Product!$A$28</c:f>
              <c:strCache>
                <c:ptCount val="1"/>
                <c:pt idx="0">
                  <c:v>Tabasco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3803E6A2-6DD1-4A42-8231-475112798D89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A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Product!$B$28:$K$28</c:f>
              <c:numCache>
                <c:formatCode>General</c:formatCode>
                <c:ptCount val="10"/>
                <c:pt idx="0">
                  <c:v>0.118525112</c:v>
                </c:pt>
                <c:pt idx="1">
                  <c:v>0.12439486299999999</c:v>
                </c:pt>
                <c:pt idx="2">
                  <c:v>0.12347974</c:v>
                </c:pt>
                <c:pt idx="3">
                  <c:v>0.11888008799999999</c:v>
                </c:pt>
                <c:pt idx="4">
                  <c:v>0.124707792</c:v>
                </c:pt>
                <c:pt idx="5">
                  <c:v>0.121727266</c:v>
                </c:pt>
                <c:pt idx="6">
                  <c:v>0.114179223</c:v>
                </c:pt>
                <c:pt idx="7">
                  <c:v>0.123506913</c:v>
                </c:pt>
                <c:pt idx="8">
                  <c:v>0.13295926299999999</c:v>
                </c:pt>
                <c:pt idx="9">
                  <c:v>0.13650984399999999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3D-9A41-85AF-6456E4CCA0E0}"/>
            </c:ext>
          </c:extLst>
        </c:ser>
        <c:ser>
          <c:idx val="27"/>
          <c:order val="27"/>
          <c:tx>
            <c:strRef>
              <c:f>Product!$A$29</c:f>
              <c:strCache>
                <c:ptCount val="1"/>
                <c:pt idx="0">
                  <c:v>Tamaulipas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9002C04F-2EED-3D42-AACF-63FD5C271366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B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Product!$B$29:$K$29</c:f>
              <c:numCache>
                <c:formatCode>General</c:formatCode>
                <c:ptCount val="10"/>
                <c:pt idx="0">
                  <c:v>0.138720391</c:v>
                </c:pt>
                <c:pt idx="1">
                  <c:v>0.134962534</c:v>
                </c:pt>
                <c:pt idx="2">
                  <c:v>0.13324968100000001</c:v>
                </c:pt>
                <c:pt idx="3">
                  <c:v>0.128616657</c:v>
                </c:pt>
                <c:pt idx="4">
                  <c:v>0.133893979</c:v>
                </c:pt>
                <c:pt idx="5">
                  <c:v>0.13109627300000001</c:v>
                </c:pt>
                <c:pt idx="6">
                  <c:v>0.12899744799999999</c:v>
                </c:pt>
                <c:pt idx="7">
                  <c:v>0.13241017499999999</c:v>
                </c:pt>
                <c:pt idx="8">
                  <c:v>0.13133428</c:v>
                </c:pt>
                <c:pt idx="9">
                  <c:v>0.137734671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B3D-9A41-85AF-6456E4CCA0E0}"/>
            </c:ext>
          </c:extLst>
        </c:ser>
        <c:ser>
          <c:idx val="28"/>
          <c:order val="28"/>
          <c:tx>
            <c:strRef>
              <c:f>Product!$A$30</c:f>
              <c:strCache>
                <c:ptCount val="1"/>
                <c:pt idx="0">
                  <c:v>Tlaxcala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847FED8-16EB-664A-96EA-44C4A0C78967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C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Product!$B$30:$K$30</c:f>
              <c:numCache>
                <c:formatCode>General</c:formatCode>
                <c:ptCount val="10"/>
                <c:pt idx="0">
                  <c:v>7.3804912E-2</c:v>
                </c:pt>
                <c:pt idx="1">
                  <c:v>7.4526233999999997E-2</c:v>
                </c:pt>
                <c:pt idx="2">
                  <c:v>7.1641608999999995E-2</c:v>
                </c:pt>
                <c:pt idx="3">
                  <c:v>7.5840055000000003E-2</c:v>
                </c:pt>
                <c:pt idx="4">
                  <c:v>7.6875563999999993E-2</c:v>
                </c:pt>
                <c:pt idx="5">
                  <c:v>7.6514542000000005E-2</c:v>
                </c:pt>
                <c:pt idx="6">
                  <c:v>7.1261289000000005E-2</c:v>
                </c:pt>
                <c:pt idx="7">
                  <c:v>7.48423E-2</c:v>
                </c:pt>
                <c:pt idx="8">
                  <c:v>7.0747027000000004E-2</c:v>
                </c:pt>
                <c:pt idx="9">
                  <c:v>7.7131427000000002E-2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3D-9A41-85AF-6456E4CCA0E0}"/>
            </c:ext>
          </c:extLst>
        </c:ser>
        <c:ser>
          <c:idx val="29"/>
          <c:order val="29"/>
          <c:tx>
            <c:strRef>
              <c:f>Product!$A$31</c:f>
              <c:strCache>
                <c:ptCount val="1"/>
                <c:pt idx="0">
                  <c:v>Veracruz de Ignacio de la Llave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A1EEE5A-D8D9-B64D-84AF-6D9C7B60405E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D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Product!$B$31:$K$31</c:f>
              <c:numCache>
                <c:formatCode>General</c:formatCode>
                <c:ptCount val="10"/>
                <c:pt idx="0">
                  <c:v>8.2206716999999999E-2</c:v>
                </c:pt>
                <c:pt idx="1">
                  <c:v>8.2635153000000003E-2</c:v>
                </c:pt>
                <c:pt idx="2">
                  <c:v>7.9682117999999996E-2</c:v>
                </c:pt>
                <c:pt idx="3">
                  <c:v>7.9829531999999995E-2</c:v>
                </c:pt>
                <c:pt idx="4">
                  <c:v>8.3804723999999997E-2</c:v>
                </c:pt>
                <c:pt idx="5">
                  <c:v>8.1377020999999994E-2</c:v>
                </c:pt>
                <c:pt idx="6">
                  <c:v>8.0504436999999998E-2</c:v>
                </c:pt>
                <c:pt idx="7">
                  <c:v>8.1185008000000003E-2</c:v>
                </c:pt>
                <c:pt idx="8">
                  <c:v>8.1065495000000001E-2</c:v>
                </c:pt>
                <c:pt idx="9">
                  <c:v>8.1708636000000001E-2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B3D-9A41-85AF-6456E4CCA0E0}"/>
            </c:ext>
          </c:extLst>
        </c:ser>
        <c:ser>
          <c:idx val="30"/>
          <c:order val="30"/>
          <c:tx>
            <c:strRef>
              <c:f>Product!$A$32</c:f>
              <c:strCache>
                <c:ptCount val="1"/>
                <c:pt idx="0">
                  <c:v>Yucatán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5B89FBB-288D-7E47-8129-4ACFCD8FA7B2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E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Product!$B$32:$K$32</c:f>
              <c:numCache>
                <c:formatCode>General</c:formatCode>
                <c:ptCount val="10"/>
                <c:pt idx="0">
                  <c:v>7.0540343000000005E-2</c:v>
                </c:pt>
                <c:pt idx="1">
                  <c:v>7.2202103000000004E-2</c:v>
                </c:pt>
                <c:pt idx="2">
                  <c:v>6.7565177000000004E-2</c:v>
                </c:pt>
                <c:pt idx="3">
                  <c:v>7.0800467000000006E-2</c:v>
                </c:pt>
                <c:pt idx="4">
                  <c:v>7.091712E-2</c:v>
                </c:pt>
                <c:pt idx="5">
                  <c:v>7.1179794000000005E-2</c:v>
                </c:pt>
                <c:pt idx="6">
                  <c:v>6.6759747999999994E-2</c:v>
                </c:pt>
                <c:pt idx="7">
                  <c:v>6.9521011999999993E-2</c:v>
                </c:pt>
                <c:pt idx="8">
                  <c:v>7.0259051000000003E-2</c:v>
                </c:pt>
                <c:pt idx="9">
                  <c:v>7.1720309999999995E-2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3D-9A41-85AF-6456E4CCA0E0}"/>
            </c:ext>
          </c:extLst>
        </c:ser>
        <c:ser>
          <c:idx val="31"/>
          <c:order val="31"/>
          <c:tx>
            <c:strRef>
              <c:f>Product!$A$33</c:f>
              <c:strCache>
                <c:ptCount val="1"/>
                <c:pt idx="0">
                  <c:v>Zacatecas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r>
                      <a:rPr lang="en-US" baseline="0"/>
                      <a:t>, 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BB3D-9A41-85AF-6456E4CCA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Product!$B$33:$K$33</c:f>
              <c:numCache>
                <c:formatCode>General</c:formatCode>
                <c:ptCount val="10"/>
                <c:pt idx="0">
                  <c:v>8.6927134000000003E-2</c:v>
                </c:pt>
                <c:pt idx="1">
                  <c:v>8.7313377999999997E-2</c:v>
                </c:pt>
                <c:pt idx="2">
                  <c:v>8.0407991999999998E-2</c:v>
                </c:pt>
                <c:pt idx="3">
                  <c:v>8.1368082999999994E-2</c:v>
                </c:pt>
                <c:pt idx="4">
                  <c:v>8.3978002999999996E-2</c:v>
                </c:pt>
                <c:pt idx="5">
                  <c:v>8.8385980000000003E-2</c:v>
                </c:pt>
                <c:pt idx="6">
                  <c:v>8.3058435E-2</c:v>
                </c:pt>
                <c:pt idx="7">
                  <c:v>8.4691083E-2</c:v>
                </c:pt>
                <c:pt idx="8">
                  <c:v>8.6108946000000006E-2</c:v>
                </c:pt>
                <c:pt idx="9">
                  <c:v>8.2337148999999998E-2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3D-9A41-85AF-6456E4CCA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581279"/>
        <c:axId val="794524479"/>
      </c:lineChart>
      <c:catAx>
        <c:axId val="5695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4524479"/>
        <c:crosses val="autoZero"/>
        <c:auto val="1"/>
        <c:lblAlgn val="ctr"/>
        <c:lblOffset val="100"/>
        <c:noMultiLvlLbl val="0"/>
      </c:catAx>
      <c:valAx>
        <c:axId val="794524479"/>
        <c:scaling>
          <c:orientation val="minMax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Coeficiente de Gini espacial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958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Ingreso!$B$1:$K$1</c:f>
              <c:strCache>
                <c:ptCount val="10"/>
                <c:pt idx="0">
                  <c:v>Gesingr14</c:v>
                </c:pt>
                <c:pt idx="1">
                  <c:v>Gesingr15</c:v>
                </c:pt>
                <c:pt idx="2">
                  <c:v>Gesingr16</c:v>
                </c:pt>
                <c:pt idx="3">
                  <c:v>Gesingr17</c:v>
                </c:pt>
                <c:pt idx="4">
                  <c:v>Gesingr18</c:v>
                </c:pt>
                <c:pt idx="5">
                  <c:v>Gesingr19</c:v>
                </c:pt>
                <c:pt idx="6">
                  <c:v>Gesingr20</c:v>
                </c:pt>
                <c:pt idx="7">
                  <c:v>Gesingr21</c:v>
                </c:pt>
                <c:pt idx="8">
                  <c:v>Gesingr22</c:v>
                </c:pt>
                <c:pt idx="9">
                  <c:v>Gesingr23</c:v>
                </c:pt>
              </c:strCache>
            </c:strRef>
          </c:cat>
          <c:val>
            <c:numRef>
              <c:f>Ingreso!$B$35:$K$35</c:f>
              <c:numCache>
                <c:formatCode>General</c:formatCode>
                <c:ptCount val="10"/>
                <c:pt idx="0">
                  <c:v>1.3848100625000002E-2</c:v>
                </c:pt>
                <c:pt idx="1">
                  <c:v>1.3243010937499999E-2</c:v>
                </c:pt>
                <c:pt idx="2">
                  <c:v>1.10841225E-2</c:v>
                </c:pt>
                <c:pt idx="3">
                  <c:v>1.2100568749999997E-2</c:v>
                </c:pt>
                <c:pt idx="4">
                  <c:v>1.2387238437500002E-2</c:v>
                </c:pt>
                <c:pt idx="5">
                  <c:v>1.22604584375E-2</c:v>
                </c:pt>
                <c:pt idx="6">
                  <c:v>1.5498431562500001E-2</c:v>
                </c:pt>
                <c:pt idx="7">
                  <c:v>1.3085048750000002E-2</c:v>
                </c:pt>
                <c:pt idx="8">
                  <c:v>1.10347421875E-2</c:v>
                </c:pt>
                <c:pt idx="9">
                  <c:v>1.2045002187500002E-2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4-4B4C-9A76-2F2584AC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563791"/>
        <c:axId val="569565503"/>
      </c:lineChart>
      <c:catAx>
        <c:axId val="56956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9565503"/>
        <c:crosses val="autoZero"/>
        <c:auto val="1"/>
        <c:lblAlgn val="ctr"/>
        <c:lblOffset val="100"/>
        <c:noMultiLvlLbl val="0"/>
      </c:catAx>
      <c:valAx>
        <c:axId val="5695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956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Ingreso!$A$2</c:f>
              <c:strCache>
                <c:ptCount val="1"/>
                <c:pt idx="0">
                  <c:v>Aguascalientes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08899896-016E-BA46-9880-F519244ED061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Ingreso!$B$2:$K$2</c:f>
              <c:numCache>
                <c:formatCode>General</c:formatCode>
                <c:ptCount val="10"/>
                <c:pt idx="0">
                  <c:v>8.7833900000000003E-3</c:v>
                </c:pt>
                <c:pt idx="1">
                  <c:v>1.5994109999999999E-2</c:v>
                </c:pt>
                <c:pt idx="2">
                  <c:v>9.8974300000000005E-3</c:v>
                </c:pt>
                <c:pt idx="3">
                  <c:v>9.9226200000000001E-3</c:v>
                </c:pt>
                <c:pt idx="4">
                  <c:v>1.209001E-2</c:v>
                </c:pt>
                <c:pt idx="5">
                  <c:v>8.0652999999999992E-3</c:v>
                </c:pt>
                <c:pt idx="6">
                  <c:v>9.8698599999999994E-3</c:v>
                </c:pt>
                <c:pt idx="7">
                  <c:v>6.4626600000000003E-3</c:v>
                </c:pt>
                <c:pt idx="8">
                  <c:v>9.0110499999999996E-3</c:v>
                </c:pt>
                <c:pt idx="9">
                  <c:v>1.1552959999999999E-2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4-3C49-B0E4-1AB0F5673CE7}"/>
            </c:ext>
          </c:extLst>
        </c:ser>
        <c:ser>
          <c:idx val="1"/>
          <c:order val="1"/>
          <c:tx>
            <c:strRef>
              <c:f>Ingreso!$A$3</c:f>
              <c:strCache>
                <c:ptCount val="1"/>
                <c:pt idx="0">
                  <c:v>Baja California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46F1CC1-396D-5F44-B862-45E87F7958E5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1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Ingreso!$B$3:$K$3</c:f>
              <c:numCache>
                <c:formatCode>General</c:formatCode>
                <c:ptCount val="10"/>
                <c:pt idx="0">
                  <c:v>3.6431800000000002E-3</c:v>
                </c:pt>
                <c:pt idx="1">
                  <c:v>1.3193710000000001E-2</c:v>
                </c:pt>
                <c:pt idx="2">
                  <c:v>8.8945199999999995E-3</c:v>
                </c:pt>
                <c:pt idx="3">
                  <c:v>7.4839199999999998E-3</c:v>
                </c:pt>
                <c:pt idx="4">
                  <c:v>4.3206099999999999E-3</c:v>
                </c:pt>
                <c:pt idx="5">
                  <c:v>5.2513780000000003E-2</c:v>
                </c:pt>
                <c:pt idx="6">
                  <c:v>6.2804890000000002E-2</c:v>
                </c:pt>
                <c:pt idx="7">
                  <c:v>4.6978810000000003E-2</c:v>
                </c:pt>
                <c:pt idx="8">
                  <c:v>1.8864909999999999E-2</c:v>
                </c:pt>
                <c:pt idx="9">
                  <c:v>5.1826179999999999E-2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4-3C49-B0E4-1AB0F5673CE7}"/>
            </c:ext>
          </c:extLst>
        </c:ser>
        <c:ser>
          <c:idx val="2"/>
          <c:order val="2"/>
          <c:tx>
            <c:strRef>
              <c:f>Ingreso!$A$4</c:f>
              <c:strCache>
                <c:ptCount val="1"/>
                <c:pt idx="0">
                  <c:v>Baja California Sur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A5C8CFC4-15B2-CA41-B11C-B1DA818521CE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2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Ingreso!$B$4:$K$4</c:f>
              <c:numCache>
                <c:formatCode>General</c:formatCode>
                <c:ptCount val="10"/>
                <c:pt idx="0">
                  <c:v>1.1938799999999999E-2</c:v>
                </c:pt>
                <c:pt idx="1">
                  <c:v>7.5086800000000002E-3</c:v>
                </c:pt>
                <c:pt idx="2">
                  <c:v>9.1812400000000002E-3</c:v>
                </c:pt>
                <c:pt idx="3">
                  <c:v>5.1528900000000002E-3</c:v>
                </c:pt>
                <c:pt idx="4">
                  <c:v>6.2870799999999996E-3</c:v>
                </c:pt>
                <c:pt idx="5">
                  <c:v>5.47746E-3</c:v>
                </c:pt>
                <c:pt idx="6">
                  <c:v>5.7625899999999997E-3</c:v>
                </c:pt>
                <c:pt idx="7">
                  <c:v>2.0066300000000001E-3</c:v>
                </c:pt>
                <c:pt idx="8">
                  <c:v>2.7677399999999999E-3</c:v>
                </c:pt>
                <c:pt idx="9">
                  <c:v>6.3853800000000004E-3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4-3C49-B0E4-1AB0F5673CE7}"/>
            </c:ext>
          </c:extLst>
        </c:ser>
        <c:ser>
          <c:idx val="3"/>
          <c:order val="3"/>
          <c:tx>
            <c:strRef>
              <c:f>Ingreso!$A$5</c:f>
              <c:strCache>
                <c:ptCount val="1"/>
                <c:pt idx="0">
                  <c:v>Campeche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C120ED53-C7FA-A64F-AFA9-E93B09BA3897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3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Ingreso!$B$5:$K$5</c:f>
              <c:numCache>
                <c:formatCode>General</c:formatCode>
                <c:ptCount val="10"/>
                <c:pt idx="0">
                  <c:v>1.817904E-2</c:v>
                </c:pt>
                <c:pt idx="1">
                  <c:v>1.056616E-2</c:v>
                </c:pt>
                <c:pt idx="2">
                  <c:v>1.1529019999999999E-2</c:v>
                </c:pt>
                <c:pt idx="3">
                  <c:v>8.0850399999999999E-3</c:v>
                </c:pt>
                <c:pt idx="4">
                  <c:v>1.0338959999999999E-2</c:v>
                </c:pt>
                <c:pt idx="5">
                  <c:v>1.511769E-2</c:v>
                </c:pt>
                <c:pt idx="6">
                  <c:v>8.4413700000000001E-3</c:v>
                </c:pt>
                <c:pt idx="7">
                  <c:v>8.1439200000000007E-3</c:v>
                </c:pt>
                <c:pt idx="8">
                  <c:v>9.8126900000000006E-3</c:v>
                </c:pt>
                <c:pt idx="9">
                  <c:v>9.9586599999999994E-3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34-3C49-B0E4-1AB0F5673CE7}"/>
            </c:ext>
          </c:extLst>
        </c:ser>
        <c:ser>
          <c:idx val="4"/>
          <c:order val="4"/>
          <c:tx>
            <c:strRef>
              <c:f>Ingreso!$A$6</c:f>
              <c:strCache>
                <c:ptCount val="1"/>
                <c:pt idx="0">
                  <c:v>Chiapas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725DE226-D49E-1640-A6E0-70D26A119F33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4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Ingreso!$B$6:$K$6</c:f>
              <c:numCache>
                <c:formatCode>General</c:formatCode>
                <c:ptCount val="10"/>
                <c:pt idx="0">
                  <c:v>1.3439670000000001E-2</c:v>
                </c:pt>
                <c:pt idx="1">
                  <c:v>1.2174509999999999E-2</c:v>
                </c:pt>
                <c:pt idx="2">
                  <c:v>1.150931E-2</c:v>
                </c:pt>
                <c:pt idx="3">
                  <c:v>1.155466E-2</c:v>
                </c:pt>
                <c:pt idx="4">
                  <c:v>1.155162E-2</c:v>
                </c:pt>
                <c:pt idx="5">
                  <c:v>1.169363E-2</c:v>
                </c:pt>
                <c:pt idx="6">
                  <c:v>1.3657590000000001E-2</c:v>
                </c:pt>
                <c:pt idx="7">
                  <c:v>2.0237149999999999E-2</c:v>
                </c:pt>
                <c:pt idx="8">
                  <c:v>1.4300139999999999E-2</c:v>
                </c:pt>
                <c:pt idx="9">
                  <c:v>1.2000510000000001E-2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34-3C49-B0E4-1AB0F5673CE7}"/>
            </c:ext>
          </c:extLst>
        </c:ser>
        <c:ser>
          <c:idx val="5"/>
          <c:order val="5"/>
          <c:tx>
            <c:strRef>
              <c:f>Ingreso!$A$7</c:f>
              <c:strCache>
                <c:ptCount val="1"/>
                <c:pt idx="0">
                  <c:v>Chihuahua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CB9BC71B-00BD-674F-AB40-B1F2E83EC3B7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5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Ingreso!$B$7:$K$7</c:f>
              <c:numCache>
                <c:formatCode>General</c:formatCode>
                <c:ptCount val="10"/>
                <c:pt idx="0">
                  <c:v>1.4793270000000001E-2</c:v>
                </c:pt>
                <c:pt idx="1">
                  <c:v>1.00462E-2</c:v>
                </c:pt>
                <c:pt idx="2">
                  <c:v>9.7946500000000002E-3</c:v>
                </c:pt>
                <c:pt idx="3">
                  <c:v>1.1005630000000001E-2</c:v>
                </c:pt>
                <c:pt idx="4">
                  <c:v>9.79031E-3</c:v>
                </c:pt>
                <c:pt idx="5">
                  <c:v>8.1360100000000008E-3</c:v>
                </c:pt>
                <c:pt idx="6">
                  <c:v>7.7615999999999996E-3</c:v>
                </c:pt>
                <c:pt idx="7">
                  <c:v>7.6734100000000003E-3</c:v>
                </c:pt>
                <c:pt idx="8">
                  <c:v>7.5871100000000002E-3</c:v>
                </c:pt>
                <c:pt idx="9">
                  <c:v>7.2903999999999998E-3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34-3C49-B0E4-1AB0F5673CE7}"/>
            </c:ext>
          </c:extLst>
        </c:ser>
        <c:ser>
          <c:idx val="6"/>
          <c:order val="6"/>
          <c:tx>
            <c:strRef>
              <c:f>Ingreso!$A$8</c:f>
              <c:strCache>
                <c:ptCount val="1"/>
                <c:pt idx="0">
                  <c:v>Ciudad de México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DB45D494-2EFD-C246-84C4-C55D0E88B5FD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6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Ingreso!$B$8:$K$8</c:f>
              <c:numCache>
                <c:formatCode>General</c:formatCode>
                <c:ptCount val="10"/>
                <c:pt idx="0">
                  <c:v>1.1745210000000001E-2</c:v>
                </c:pt>
                <c:pt idx="1">
                  <c:v>1.4379889999999999E-2</c:v>
                </c:pt>
                <c:pt idx="2">
                  <c:v>7.6853099999999999E-3</c:v>
                </c:pt>
                <c:pt idx="3">
                  <c:v>8.9150299999999991E-3</c:v>
                </c:pt>
                <c:pt idx="4">
                  <c:v>1.236256E-2</c:v>
                </c:pt>
                <c:pt idx="5">
                  <c:v>1.061956E-2</c:v>
                </c:pt>
                <c:pt idx="6">
                  <c:v>8.3964699999999996E-3</c:v>
                </c:pt>
                <c:pt idx="7">
                  <c:v>8.9455300000000001E-3</c:v>
                </c:pt>
                <c:pt idx="8">
                  <c:v>7.2565800000000003E-3</c:v>
                </c:pt>
                <c:pt idx="9">
                  <c:v>8.1904100000000004E-3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34-3C49-B0E4-1AB0F5673CE7}"/>
            </c:ext>
          </c:extLst>
        </c:ser>
        <c:ser>
          <c:idx val="7"/>
          <c:order val="7"/>
          <c:tx>
            <c:strRef>
              <c:f>Ingreso!$A$9</c:f>
              <c:strCache>
                <c:ptCount val="1"/>
                <c:pt idx="0">
                  <c:v>Coahuila de Zaragoza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9DBE6698-669A-6F43-832B-DFB172050699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7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Ingreso!$B$9:$K$9</c:f>
              <c:numCache>
                <c:formatCode>General</c:formatCode>
                <c:ptCount val="10"/>
                <c:pt idx="0">
                  <c:v>1.5418680000000001E-2</c:v>
                </c:pt>
                <c:pt idx="1">
                  <c:v>9.9302899999999996E-3</c:v>
                </c:pt>
                <c:pt idx="2">
                  <c:v>8.2325100000000002E-3</c:v>
                </c:pt>
                <c:pt idx="3">
                  <c:v>1.126956E-2</c:v>
                </c:pt>
                <c:pt idx="4">
                  <c:v>1.2223639999999999E-2</c:v>
                </c:pt>
                <c:pt idx="5">
                  <c:v>1.2714430000000001E-2</c:v>
                </c:pt>
                <c:pt idx="6">
                  <c:v>1.447409E-2</c:v>
                </c:pt>
                <c:pt idx="7">
                  <c:v>1.264902E-2</c:v>
                </c:pt>
                <c:pt idx="8">
                  <c:v>1.26827E-2</c:v>
                </c:pt>
                <c:pt idx="9">
                  <c:v>8.4010400000000002E-3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34-3C49-B0E4-1AB0F5673CE7}"/>
            </c:ext>
          </c:extLst>
        </c:ser>
        <c:ser>
          <c:idx val="8"/>
          <c:order val="8"/>
          <c:tx>
            <c:strRef>
              <c:f>Ingreso!$A$10</c:f>
              <c:strCache>
                <c:ptCount val="1"/>
                <c:pt idx="0">
                  <c:v>Colima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00FE8C01-2A99-F14D-8139-C275189D73E0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8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Ingreso!$B$10:$K$10</c:f>
              <c:numCache>
                <c:formatCode>General</c:formatCode>
                <c:ptCount val="10"/>
                <c:pt idx="0">
                  <c:v>1.0533229999999999E-2</c:v>
                </c:pt>
                <c:pt idx="1">
                  <c:v>1.119973E-2</c:v>
                </c:pt>
                <c:pt idx="2">
                  <c:v>1.2071480000000001E-2</c:v>
                </c:pt>
                <c:pt idx="3">
                  <c:v>6.06224E-3</c:v>
                </c:pt>
                <c:pt idx="4">
                  <c:v>9.3062800000000001E-3</c:v>
                </c:pt>
                <c:pt idx="5">
                  <c:v>6.8098200000000003E-3</c:v>
                </c:pt>
                <c:pt idx="6">
                  <c:v>9.8999299999999995E-3</c:v>
                </c:pt>
                <c:pt idx="7">
                  <c:v>6.8579399999999999E-3</c:v>
                </c:pt>
                <c:pt idx="8">
                  <c:v>6.5413499999999996E-3</c:v>
                </c:pt>
                <c:pt idx="9">
                  <c:v>9.1628600000000001E-3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34-3C49-B0E4-1AB0F5673CE7}"/>
            </c:ext>
          </c:extLst>
        </c:ser>
        <c:ser>
          <c:idx val="9"/>
          <c:order val="9"/>
          <c:tx>
            <c:strRef>
              <c:f>Ingreso!$A$11</c:f>
              <c:strCache>
                <c:ptCount val="1"/>
                <c:pt idx="0">
                  <c:v>Durango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10BC1417-E8CE-2445-84D7-CEF52F361D91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9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Ingreso!$B$11:$K$11</c:f>
              <c:numCache>
                <c:formatCode>General</c:formatCode>
                <c:ptCount val="10"/>
                <c:pt idx="0">
                  <c:v>1.365385E-2</c:v>
                </c:pt>
                <c:pt idx="1">
                  <c:v>1.310033E-2</c:v>
                </c:pt>
                <c:pt idx="2">
                  <c:v>1.0889970000000001E-2</c:v>
                </c:pt>
                <c:pt idx="3">
                  <c:v>1.2088659999999999E-2</c:v>
                </c:pt>
                <c:pt idx="4">
                  <c:v>1.356225E-2</c:v>
                </c:pt>
                <c:pt idx="5">
                  <c:v>1.302963E-2</c:v>
                </c:pt>
                <c:pt idx="6">
                  <c:v>1.0132240000000001E-2</c:v>
                </c:pt>
                <c:pt idx="7">
                  <c:v>8.5826500000000007E-3</c:v>
                </c:pt>
                <c:pt idx="8">
                  <c:v>8.1290300000000006E-3</c:v>
                </c:pt>
                <c:pt idx="9">
                  <c:v>7.5645399999999998E-3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34-3C49-B0E4-1AB0F5673CE7}"/>
            </c:ext>
          </c:extLst>
        </c:ser>
        <c:ser>
          <c:idx val="10"/>
          <c:order val="10"/>
          <c:tx>
            <c:strRef>
              <c:f>Ingreso!$A$12</c:f>
              <c:strCache>
                <c:ptCount val="1"/>
                <c:pt idx="0">
                  <c:v>Guanajuato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DFD5A1C4-12E5-C641-8CEF-5BF8D41B88B3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A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Ingreso!$B$12:$K$12</c:f>
              <c:numCache>
                <c:formatCode>General</c:formatCode>
                <c:ptCount val="10"/>
                <c:pt idx="0">
                  <c:v>1.4828630000000001E-2</c:v>
                </c:pt>
                <c:pt idx="1">
                  <c:v>1.490549E-2</c:v>
                </c:pt>
                <c:pt idx="2">
                  <c:v>1.0029160000000001E-2</c:v>
                </c:pt>
                <c:pt idx="3">
                  <c:v>1.408158E-2</c:v>
                </c:pt>
                <c:pt idx="4">
                  <c:v>1.2758439999999999E-2</c:v>
                </c:pt>
                <c:pt idx="5">
                  <c:v>9.5483200000000008E-3</c:v>
                </c:pt>
                <c:pt idx="6">
                  <c:v>1.063885E-2</c:v>
                </c:pt>
                <c:pt idx="7">
                  <c:v>8.6069800000000002E-3</c:v>
                </c:pt>
                <c:pt idx="8">
                  <c:v>1.133059E-2</c:v>
                </c:pt>
                <c:pt idx="9">
                  <c:v>9.8857300000000006E-3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34-3C49-B0E4-1AB0F5673CE7}"/>
            </c:ext>
          </c:extLst>
        </c:ser>
        <c:ser>
          <c:idx val="11"/>
          <c:order val="11"/>
          <c:tx>
            <c:strRef>
              <c:f>Ingreso!$A$13</c:f>
              <c:strCache>
                <c:ptCount val="1"/>
                <c:pt idx="0">
                  <c:v>Guerrero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03C31A1-E354-5A4A-9463-585BD47C860D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B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Ingreso!$B$13:$K$13</c:f>
              <c:numCache>
                <c:formatCode>General</c:formatCode>
                <c:ptCount val="10"/>
                <c:pt idx="0">
                  <c:v>1.7809800000000001E-2</c:v>
                </c:pt>
                <c:pt idx="1">
                  <c:v>1.364275E-2</c:v>
                </c:pt>
                <c:pt idx="2">
                  <c:v>1.3818860000000001E-2</c:v>
                </c:pt>
                <c:pt idx="3">
                  <c:v>1.544071E-2</c:v>
                </c:pt>
                <c:pt idx="4">
                  <c:v>1.217095E-2</c:v>
                </c:pt>
                <c:pt idx="5">
                  <c:v>1.5413970000000001E-2</c:v>
                </c:pt>
                <c:pt idx="6">
                  <c:v>1.2098289999999999E-2</c:v>
                </c:pt>
                <c:pt idx="7">
                  <c:v>1.2001960000000001E-2</c:v>
                </c:pt>
                <c:pt idx="8">
                  <c:v>9.9091500000000002E-3</c:v>
                </c:pt>
                <c:pt idx="9">
                  <c:v>9.7910199999999992E-3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B34-3C49-B0E4-1AB0F5673CE7}"/>
            </c:ext>
          </c:extLst>
        </c:ser>
        <c:ser>
          <c:idx val="12"/>
          <c:order val="12"/>
          <c:tx>
            <c:strRef>
              <c:f>Ingreso!$A$14</c:f>
              <c:strCache>
                <c:ptCount val="1"/>
                <c:pt idx="0">
                  <c:v>Hidalgo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8D41DB6E-D270-F444-BD5A-9A643F1A4E5C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C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Ingreso!$B$14:$K$14</c:f>
              <c:numCache>
                <c:formatCode>General</c:formatCode>
                <c:ptCount val="10"/>
                <c:pt idx="0">
                  <c:v>1.4170820000000001E-2</c:v>
                </c:pt>
                <c:pt idx="1">
                  <c:v>1.1872290000000001E-2</c:v>
                </c:pt>
                <c:pt idx="2">
                  <c:v>9.9019699999999995E-3</c:v>
                </c:pt>
                <c:pt idx="3">
                  <c:v>9.7059599999999996E-3</c:v>
                </c:pt>
                <c:pt idx="4">
                  <c:v>1.180696E-2</c:v>
                </c:pt>
                <c:pt idx="5">
                  <c:v>1.00698E-2</c:v>
                </c:pt>
                <c:pt idx="6">
                  <c:v>1.085377E-2</c:v>
                </c:pt>
                <c:pt idx="7">
                  <c:v>1.0400609999999999E-2</c:v>
                </c:pt>
                <c:pt idx="8">
                  <c:v>8.0168099999999992E-3</c:v>
                </c:pt>
                <c:pt idx="9">
                  <c:v>8.9888399999999997E-3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34-3C49-B0E4-1AB0F5673CE7}"/>
            </c:ext>
          </c:extLst>
        </c:ser>
        <c:ser>
          <c:idx val="13"/>
          <c:order val="13"/>
          <c:tx>
            <c:strRef>
              <c:f>Ingreso!$A$15</c:f>
              <c:strCache>
                <c:ptCount val="1"/>
                <c:pt idx="0">
                  <c:v>Jalisco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7FDA965A-60DB-314D-80CC-AE3FD05B3718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D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Ingreso!$B$15:$K$15</c:f>
              <c:numCache>
                <c:formatCode>General</c:formatCode>
                <c:ptCount val="10"/>
                <c:pt idx="0">
                  <c:v>1.3693149999999999E-2</c:v>
                </c:pt>
                <c:pt idx="1">
                  <c:v>1.017119E-2</c:v>
                </c:pt>
                <c:pt idx="2">
                  <c:v>8.7318599999999993E-3</c:v>
                </c:pt>
                <c:pt idx="3">
                  <c:v>1.097245E-2</c:v>
                </c:pt>
                <c:pt idx="4">
                  <c:v>1.0709440000000001E-2</c:v>
                </c:pt>
                <c:pt idx="5">
                  <c:v>1.003071E-2</c:v>
                </c:pt>
                <c:pt idx="6">
                  <c:v>9.6062400000000003E-3</c:v>
                </c:pt>
                <c:pt idx="7">
                  <c:v>8.6669299999999998E-3</c:v>
                </c:pt>
                <c:pt idx="8">
                  <c:v>1.0469269999999999E-2</c:v>
                </c:pt>
                <c:pt idx="9">
                  <c:v>7.8173300000000008E-3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B34-3C49-B0E4-1AB0F5673CE7}"/>
            </c:ext>
          </c:extLst>
        </c:ser>
        <c:ser>
          <c:idx val="14"/>
          <c:order val="14"/>
          <c:tx>
            <c:strRef>
              <c:f>Ingreso!$A$17</c:f>
              <c:strCache>
                <c:ptCount val="1"/>
                <c:pt idx="0">
                  <c:v>Michoacán de Ocampo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F23FA14E-5DA5-7548-871E-4B431D0B65CE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E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Ingreso!$B$17:$K$17</c:f>
              <c:numCache>
                <c:formatCode>General</c:formatCode>
                <c:ptCount val="10"/>
                <c:pt idx="0">
                  <c:v>1.1013459999999999E-2</c:v>
                </c:pt>
                <c:pt idx="1">
                  <c:v>1.164068E-2</c:v>
                </c:pt>
                <c:pt idx="2">
                  <c:v>1.050748E-2</c:v>
                </c:pt>
                <c:pt idx="3">
                  <c:v>1.073139E-2</c:v>
                </c:pt>
                <c:pt idx="4">
                  <c:v>9.8616599999999995E-3</c:v>
                </c:pt>
                <c:pt idx="5">
                  <c:v>9.3172700000000008E-3</c:v>
                </c:pt>
                <c:pt idx="6">
                  <c:v>9.7703800000000004E-3</c:v>
                </c:pt>
                <c:pt idx="7">
                  <c:v>8.3026999999999997E-3</c:v>
                </c:pt>
                <c:pt idx="8">
                  <c:v>9.9442300000000001E-3</c:v>
                </c:pt>
                <c:pt idx="9">
                  <c:v>7.5084399999999999E-3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34-3C49-B0E4-1AB0F5673CE7}"/>
            </c:ext>
          </c:extLst>
        </c:ser>
        <c:ser>
          <c:idx val="15"/>
          <c:order val="15"/>
          <c:tx>
            <c:strRef>
              <c:f>Ingreso!$A$18</c:f>
              <c:strCache>
                <c:ptCount val="1"/>
                <c:pt idx="0">
                  <c:v>Morelos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E081F600-6BB0-944D-932B-AAC665A276C5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F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Ingreso!$B$18:$K$18</c:f>
              <c:numCache>
                <c:formatCode>General</c:formatCode>
                <c:ptCount val="10"/>
                <c:pt idx="0">
                  <c:v>1.255125E-2</c:v>
                </c:pt>
                <c:pt idx="1">
                  <c:v>1.244026E-2</c:v>
                </c:pt>
                <c:pt idx="2">
                  <c:v>1.417114E-2</c:v>
                </c:pt>
                <c:pt idx="3">
                  <c:v>1.093359E-2</c:v>
                </c:pt>
                <c:pt idx="4">
                  <c:v>1.2790630000000001E-2</c:v>
                </c:pt>
                <c:pt idx="5">
                  <c:v>1.5006480000000001E-2</c:v>
                </c:pt>
                <c:pt idx="6">
                  <c:v>1.509219E-2</c:v>
                </c:pt>
                <c:pt idx="7">
                  <c:v>1.146614E-2</c:v>
                </c:pt>
                <c:pt idx="8">
                  <c:v>7.8396500000000001E-3</c:v>
                </c:pt>
                <c:pt idx="9">
                  <c:v>9.5519400000000001E-3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34-3C49-B0E4-1AB0F5673CE7}"/>
            </c:ext>
          </c:extLst>
        </c:ser>
        <c:ser>
          <c:idx val="16"/>
          <c:order val="16"/>
          <c:tx>
            <c:strRef>
              <c:f>Ingreso!$A$16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2BA2B65A-90FE-A54C-8CC5-20E3BB8C2A6D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0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Ingreso!$B$16:$K$16</c:f>
              <c:numCache>
                <c:formatCode>General</c:formatCode>
                <c:ptCount val="10"/>
                <c:pt idx="0">
                  <c:v>2.2412399999999999E-2</c:v>
                </c:pt>
                <c:pt idx="1">
                  <c:v>1.623844E-2</c:v>
                </c:pt>
                <c:pt idx="2">
                  <c:v>1.9905579999999999E-2</c:v>
                </c:pt>
                <c:pt idx="3">
                  <c:v>2.6400420000000001E-2</c:v>
                </c:pt>
                <c:pt idx="4">
                  <c:v>3.2384820000000002E-2</c:v>
                </c:pt>
                <c:pt idx="5">
                  <c:v>2.0565279999999998E-2</c:v>
                </c:pt>
                <c:pt idx="6">
                  <c:v>2.3329280000000001E-2</c:v>
                </c:pt>
                <c:pt idx="7">
                  <c:v>1.534978E-2</c:v>
                </c:pt>
                <c:pt idx="8">
                  <c:v>2.5247329999999998E-2</c:v>
                </c:pt>
                <c:pt idx="9">
                  <c:v>1.5189609999999999E-2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34-3C49-B0E4-1AB0F5673CE7}"/>
            </c:ext>
          </c:extLst>
        </c:ser>
        <c:ser>
          <c:idx val="17"/>
          <c:order val="17"/>
          <c:tx>
            <c:strRef>
              <c:f>Ingreso!$A$19</c:f>
              <c:strCache>
                <c:ptCount val="1"/>
                <c:pt idx="0">
                  <c:v>Nayarit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424EE7CE-C429-D943-815C-F4D4C7FEE86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1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Ingreso!$B$19:$K$19</c:f>
              <c:numCache>
                <c:formatCode>General</c:formatCode>
                <c:ptCount val="10"/>
                <c:pt idx="0">
                  <c:v>9.3114100000000009E-3</c:v>
                </c:pt>
                <c:pt idx="1">
                  <c:v>8.1781700000000002E-3</c:v>
                </c:pt>
                <c:pt idx="2">
                  <c:v>9.6244399999999997E-3</c:v>
                </c:pt>
                <c:pt idx="3">
                  <c:v>8.2183599999999992E-3</c:v>
                </c:pt>
                <c:pt idx="4">
                  <c:v>7.5960100000000003E-3</c:v>
                </c:pt>
                <c:pt idx="5">
                  <c:v>8.5580099999999996E-3</c:v>
                </c:pt>
                <c:pt idx="6">
                  <c:v>8.2711399999999997E-3</c:v>
                </c:pt>
                <c:pt idx="7">
                  <c:v>7.5984700000000004E-3</c:v>
                </c:pt>
                <c:pt idx="8">
                  <c:v>6.5897500000000001E-3</c:v>
                </c:pt>
                <c:pt idx="9">
                  <c:v>7.3066900000000002E-3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B34-3C49-B0E4-1AB0F5673CE7}"/>
            </c:ext>
          </c:extLst>
        </c:ser>
        <c:ser>
          <c:idx val="18"/>
          <c:order val="18"/>
          <c:tx>
            <c:strRef>
              <c:f>Ingreso!$A$20</c:f>
              <c:strCache>
                <c:ptCount val="1"/>
                <c:pt idx="0">
                  <c:v>Nuevo León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0830724A-8CD9-274B-B657-1A7C960F61B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2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Ingreso!$B$20:$K$20</c:f>
              <c:numCache>
                <c:formatCode>General</c:formatCode>
                <c:ptCount val="10"/>
                <c:pt idx="0">
                  <c:v>4.2464620000000002E-2</c:v>
                </c:pt>
                <c:pt idx="1">
                  <c:v>5.4416060000000002E-2</c:v>
                </c:pt>
                <c:pt idx="2">
                  <c:v>2.4007069999999998E-2</c:v>
                </c:pt>
                <c:pt idx="3">
                  <c:v>4.2592360000000003E-2</c:v>
                </c:pt>
                <c:pt idx="4">
                  <c:v>4.3075549999999997E-2</c:v>
                </c:pt>
                <c:pt idx="5">
                  <c:v>1.000059E-2</c:v>
                </c:pt>
                <c:pt idx="6">
                  <c:v>8.3521780000000004E-2</c:v>
                </c:pt>
                <c:pt idx="7">
                  <c:v>6.4665769999999997E-2</c:v>
                </c:pt>
                <c:pt idx="8">
                  <c:v>4.5418180000000002E-2</c:v>
                </c:pt>
                <c:pt idx="9">
                  <c:v>6.0432550000000002E-2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34-3C49-B0E4-1AB0F5673CE7}"/>
            </c:ext>
          </c:extLst>
        </c:ser>
        <c:ser>
          <c:idx val="19"/>
          <c:order val="19"/>
          <c:tx>
            <c:strRef>
              <c:f>Ingreso!$A$21</c:f>
              <c:strCache>
                <c:ptCount val="1"/>
                <c:pt idx="0">
                  <c:v>Oaxaca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388B660D-CBD2-E34B-AA33-5E967D082F65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Ingreso!$B$21:$K$21</c:f>
              <c:numCache>
                <c:formatCode>General</c:formatCode>
                <c:ptCount val="10"/>
                <c:pt idx="0">
                  <c:v>1.3024229999999999E-2</c:v>
                </c:pt>
                <c:pt idx="1">
                  <c:v>1.302827E-2</c:v>
                </c:pt>
                <c:pt idx="2">
                  <c:v>1.183436E-2</c:v>
                </c:pt>
                <c:pt idx="3">
                  <c:v>1.2156230000000001E-2</c:v>
                </c:pt>
                <c:pt idx="4">
                  <c:v>1.1355489999999999E-2</c:v>
                </c:pt>
                <c:pt idx="5">
                  <c:v>1.1157749999999999E-2</c:v>
                </c:pt>
                <c:pt idx="6">
                  <c:v>9.7350100000000005E-3</c:v>
                </c:pt>
                <c:pt idx="7">
                  <c:v>8.4103000000000008E-3</c:v>
                </c:pt>
                <c:pt idx="8">
                  <c:v>8.3728599999999993E-3</c:v>
                </c:pt>
                <c:pt idx="9">
                  <c:v>9.0045699999999999E-3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34-3C49-B0E4-1AB0F5673CE7}"/>
            </c:ext>
          </c:extLst>
        </c:ser>
        <c:ser>
          <c:idx val="20"/>
          <c:order val="20"/>
          <c:tx>
            <c:strRef>
              <c:f>Ingreso!$A$22</c:f>
              <c:strCache>
                <c:ptCount val="1"/>
                <c:pt idx="0">
                  <c:v>Puebla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030AF734-04F4-924F-B0FB-C055416F468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4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Ingreso!$B$22:$K$22</c:f>
              <c:numCache>
                <c:formatCode>General</c:formatCode>
                <c:ptCount val="10"/>
                <c:pt idx="0">
                  <c:v>1.301064E-2</c:v>
                </c:pt>
                <c:pt idx="1">
                  <c:v>1.1465889999999999E-2</c:v>
                </c:pt>
                <c:pt idx="2">
                  <c:v>1.156778E-2</c:v>
                </c:pt>
                <c:pt idx="3">
                  <c:v>1.296598E-2</c:v>
                </c:pt>
                <c:pt idx="4">
                  <c:v>1.1886270000000001E-2</c:v>
                </c:pt>
                <c:pt idx="5">
                  <c:v>1.4098899999999999E-2</c:v>
                </c:pt>
                <c:pt idx="6">
                  <c:v>1.194926E-2</c:v>
                </c:pt>
                <c:pt idx="7">
                  <c:v>1.0032579999999999E-2</c:v>
                </c:pt>
                <c:pt idx="8">
                  <c:v>8.2890299999999993E-3</c:v>
                </c:pt>
                <c:pt idx="9">
                  <c:v>9.5803299999999997E-3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34-3C49-B0E4-1AB0F5673CE7}"/>
            </c:ext>
          </c:extLst>
        </c:ser>
        <c:ser>
          <c:idx val="21"/>
          <c:order val="21"/>
          <c:tx>
            <c:strRef>
              <c:f>Ingreso!$A$23</c:f>
              <c:strCache>
                <c:ptCount val="1"/>
                <c:pt idx="0">
                  <c:v>Querétaro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Ingreso!$B$23:$K$23</c:f>
              <c:numCache>
                <c:formatCode>General</c:formatCode>
                <c:ptCount val="10"/>
                <c:pt idx="0">
                  <c:v>1.0883240000000001E-2</c:v>
                </c:pt>
                <c:pt idx="1">
                  <c:v>1.1427090000000001E-2</c:v>
                </c:pt>
                <c:pt idx="2">
                  <c:v>9.1266799999999999E-3</c:v>
                </c:pt>
                <c:pt idx="3">
                  <c:v>6.0017400000000002E-3</c:v>
                </c:pt>
                <c:pt idx="4">
                  <c:v>9.6217400000000002E-3</c:v>
                </c:pt>
                <c:pt idx="5">
                  <c:v>1.115435E-2</c:v>
                </c:pt>
                <c:pt idx="6">
                  <c:v>1.0049779999999999E-2</c:v>
                </c:pt>
                <c:pt idx="7">
                  <c:v>5.2318399999999998E-3</c:v>
                </c:pt>
                <c:pt idx="8">
                  <c:v>6.6009199999999997E-3</c:v>
                </c:pt>
                <c:pt idx="9">
                  <c:v>7.3441000000000001E-3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B34-3C49-B0E4-1AB0F5673CE7}"/>
            </c:ext>
          </c:extLst>
        </c:ser>
        <c:ser>
          <c:idx val="22"/>
          <c:order val="22"/>
          <c:tx>
            <c:strRef>
              <c:f>Ingreso!$A$24</c:f>
              <c:strCache>
                <c:ptCount val="1"/>
                <c:pt idx="0">
                  <c:v>Quintana Roo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FAE07CEC-AA42-9F47-9ECE-32A83591959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6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Ingreso!$B$24:$K$24</c:f>
              <c:numCache>
                <c:formatCode>General</c:formatCode>
                <c:ptCount val="10"/>
                <c:pt idx="0">
                  <c:v>1.369414E-2</c:v>
                </c:pt>
                <c:pt idx="1">
                  <c:v>9.8166199999999999E-3</c:v>
                </c:pt>
                <c:pt idx="2">
                  <c:v>8.3379400000000003E-3</c:v>
                </c:pt>
                <c:pt idx="3">
                  <c:v>9.2873299999999999E-3</c:v>
                </c:pt>
                <c:pt idx="4">
                  <c:v>9.55108E-3</c:v>
                </c:pt>
                <c:pt idx="5">
                  <c:v>1.0230049999999999E-2</c:v>
                </c:pt>
                <c:pt idx="6">
                  <c:v>8.1752999999999999E-3</c:v>
                </c:pt>
                <c:pt idx="7">
                  <c:v>6.7124200000000002E-3</c:v>
                </c:pt>
                <c:pt idx="8">
                  <c:v>6.71756E-3</c:v>
                </c:pt>
                <c:pt idx="9">
                  <c:v>6.3812399999999998E-3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34-3C49-B0E4-1AB0F5673CE7}"/>
            </c:ext>
          </c:extLst>
        </c:ser>
        <c:ser>
          <c:idx val="23"/>
          <c:order val="23"/>
          <c:tx>
            <c:strRef>
              <c:f>Ingreso!$A$25</c:f>
              <c:strCache>
                <c:ptCount val="1"/>
                <c:pt idx="0">
                  <c:v>San Luis Potosí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EFECB8A5-5E0E-6449-AE0F-AAB57E32465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7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Ingreso!$B$25:$K$25</c:f>
              <c:numCache>
                <c:formatCode>General</c:formatCode>
                <c:ptCount val="10"/>
                <c:pt idx="0">
                  <c:v>1.5349379999999999E-2</c:v>
                </c:pt>
                <c:pt idx="1">
                  <c:v>1.2508780000000001E-2</c:v>
                </c:pt>
                <c:pt idx="2">
                  <c:v>9.4882899999999999E-3</c:v>
                </c:pt>
                <c:pt idx="3">
                  <c:v>1.160603E-2</c:v>
                </c:pt>
                <c:pt idx="4">
                  <c:v>9.18041E-3</c:v>
                </c:pt>
                <c:pt idx="5">
                  <c:v>9.6430999999999999E-3</c:v>
                </c:pt>
                <c:pt idx="6">
                  <c:v>7.9962200000000001E-3</c:v>
                </c:pt>
                <c:pt idx="7">
                  <c:v>6.2810399999999999E-3</c:v>
                </c:pt>
                <c:pt idx="8">
                  <c:v>8.5327200000000006E-3</c:v>
                </c:pt>
                <c:pt idx="9">
                  <c:v>7.5432399999999997E-3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B34-3C49-B0E4-1AB0F5673CE7}"/>
            </c:ext>
          </c:extLst>
        </c:ser>
        <c:ser>
          <c:idx val="24"/>
          <c:order val="24"/>
          <c:tx>
            <c:strRef>
              <c:f>Ingreso!$A$26</c:f>
              <c:strCache>
                <c:ptCount val="1"/>
                <c:pt idx="0">
                  <c:v>Sinaloa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74A47CA2-AAA0-CA44-BF58-2276C55A219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Ingreso!$B$26:$K$26</c:f>
              <c:numCache>
                <c:formatCode>General</c:formatCode>
                <c:ptCount val="10"/>
                <c:pt idx="0">
                  <c:v>8.8410299999999997E-3</c:v>
                </c:pt>
                <c:pt idx="1">
                  <c:v>8.8403900000000001E-3</c:v>
                </c:pt>
                <c:pt idx="2">
                  <c:v>7.9101099999999997E-3</c:v>
                </c:pt>
                <c:pt idx="3">
                  <c:v>9.7288099999999992E-3</c:v>
                </c:pt>
                <c:pt idx="4">
                  <c:v>8.4771099999999995E-3</c:v>
                </c:pt>
                <c:pt idx="5">
                  <c:v>7.8510300000000002E-3</c:v>
                </c:pt>
                <c:pt idx="6">
                  <c:v>7.7283600000000001E-3</c:v>
                </c:pt>
                <c:pt idx="7">
                  <c:v>6.1841300000000004E-3</c:v>
                </c:pt>
                <c:pt idx="8">
                  <c:v>5.7466100000000001E-3</c:v>
                </c:pt>
                <c:pt idx="9">
                  <c:v>7.6473799999999996E-3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34-3C49-B0E4-1AB0F5673CE7}"/>
            </c:ext>
          </c:extLst>
        </c:ser>
        <c:ser>
          <c:idx val="25"/>
          <c:order val="25"/>
          <c:tx>
            <c:strRef>
              <c:f>Ingreso!$A$27</c:f>
              <c:strCache>
                <c:ptCount val="1"/>
                <c:pt idx="0">
                  <c:v>Sonora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F70EB183-5E99-9540-85ED-5081A5F5BA83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9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Ingreso!$B$27:$K$27</c:f>
              <c:numCache>
                <c:formatCode>General</c:formatCode>
                <c:ptCount val="10"/>
                <c:pt idx="0">
                  <c:v>8.9563999999999998E-3</c:v>
                </c:pt>
                <c:pt idx="1">
                  <c:v>9.8468400000000008E-3</c:v>
                </c:pt>
                <c:pt idx="2">
                  <c:v>8.35872E-3</c:v>
                </c:pt>
                <c:pt idx="3">
                  <c:v>9.6479500000000006E-3</c:v>
                </c:pt>
                <c:pt idx="4">
                  <c:v>9.1426700000000003E-3</c:v>
                </c:pt>
                <c:pt idx="5">
                  <c:v>9.7138399999999996E-3</c:v>
                </c:pt>
                <c:pt idx="6">
                  <c:v>7.8975899999999995E-3</c:v>
                </c:pt>
                <c:pt idx="7">
                  <c:v>6.5863800000000002E-3</c:v>
                </c:pt>
                <c:pt idx="8">
                  <c:v>7.8701099999999996E-3</c:v>
                </c:pt>
                <c:pt idx="9">
                  <c:v>8.13703E-3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B34-3C49-B0E4-1AB0F5673CE7}"/>
            </c:ext>
          </c:extLst>
        </c:ser>
        <c:ser>
          <c:idx val="26"/>
          <c:order val="26"/>
          <c:tx>
            <c:strRef>
              <c:f>Ingreso!$A$28</c:f>
              <c:strCache>
                <c:ptCount val="1"/>
                <c:pt idx="0">
                  <c:v>Tabasco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B164EAEF-7CE5-B740-A1F8-BEB066E8AEFC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A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Ingreso!$B$28:$K$28</c:f>
              <c:numCache>
                <c:formatCode>General</c:formatCode>
                <c:ptCount val="10"/>
                <c:pt idx="0">
                  <c:v>8.61957E-3</c:v>
                </c:pt>
                <c:pt idx="1">
                  <c:v>9.4579699999999996E-3</c:v>
                </c:pt>
                <c:pt idx="2">
                  <c:v>8.0951600000000005E-3</c:v>
                </c:pt>
                <c:pt idx="3">
                  <c:v>1.087668E-2</c:v>
                </c:pt>
                <c:pt idx="4">
                  <c:v>1.0957939999999999E-2</c:v>
                </c:pt>
                <c:pt idx="5">
                  <c:v>8.1748299999999992E-3</c:v>
                </c:pt>
                <c:pt idx="6">
                  <c:v>8.8352499999999994E-3</c:v>
                </c:pt>
                <c:pt idx="7">
                  <c:v>1.051008E-2</c:v>
                </c:pt>
                <c:pt idx="8">
                  <c:v>8.2386600000000001E-3</c:v>
                </c:pt>
                <c:pt idx="9">
                  <c:v>8.3780499999999997E-3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34-3C49-B0E4-1AB0F5673CE7}"/>
            </c:ext>
          </c:extLst>
        </c:ser>
        <c:ser>
          <c:idx val="27"/>
          <c:order val="27"/>
          <c:tx>
            <c:strRef>
              <c:f>Ingreso!$A$29</c:f>
              <c:strCache>
                <c:ptCount val="1"/>
                <c:pt idx="0">
                  <c:v>Tamaulipas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689367F3-4868-9542-B922-F8E6C5A6F1AA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B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Ingreso!$B$29:$K$29</c:f>
              <c:numCache>
                <c:formatCode>General</c:formatCode>
                <c:ptCount val="10"/>
                <c:pt idx="0">
                  <c:v>1.176206E-2</c:v>
                </c:pt>
                <c:pt idx="1">
                  <c:v>1.245719E-2</c:v>
                </c:pt>
                <c:pt idx="2">
                  <c:v>8.2425199999999997E-3</c:v>
                </c:pt>
                <c:pt idx="3">
                  <c:v>1.027435E-2</c:v>
                </c:pt>
                <c:pt idx="4">
                  <c:v>9.1829100000000007E-3</c:v>
                </c:pt>
                <c:pt idx="5">
                  <c:v>1.55929E-2</c:v>
                </c:pt>
                <c:pt idx="6">
                  <c:v>1.6304320000000001E-2</c:v>
                </c:pt>
                <c:pt idx="7">
                  <c:v>9.7116000000000008E-3</c:v>
                </c:pt>
                <c:pt idx="8">
                  <c:v>1.277552E-2</c:v>
                </c:pt>
                <c:pt idx="9">
                  <c:v>1.4613849999999999E-2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B34-3C49-B0E4-1AB0F5673CE7}"/>
            </c:ext>
          </c:extLst>
        </c:ser>
        <c:ser>
          <c:idx val="28"/>
          <c:order val="28"/>
          <c:tx>
            <c:strRef>
              <c:f>Ingreso!$A$30</c:f>
              <c:strCache>
                <c:ptCount val="1"/>
                <c:pt idx="0">
                  <c:v>Tlaxcala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6D78E669-5BF8-384E-8EBF-FF437221DCAF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Ingreso!$B$30:$K$30</c:f>
              <c:numCache>
                <c:formatCode>General</c:formatCode>
                <c:ptCount val="10"/>
                <c:pt idx="0">
                  <c:v>1.608002E-2</c:v>
                </c:pt>
                <c:pt idx="1">
                  <c:v>1.489382E-2</c:v>
                </c:pt>
                <c:pt idx="2">
                  <c:v>1.367937E-2</c:v>
                </c:pt>
                <c:pt idx="3">
                  <c:v>1.4431289999999999E-2</c:v>
                </c:pt>
                <c:pt idx="4">
                  <c:v>1.4445090000000001E-2</c:v>
                </c:pt>
                <c:pt idx="5">
                  <c:v>1.034094E-2</c:v>
                </c:pt>
                <c:pt idx="6">
                  <c:v>1.2304519999999999E-2</c:v>
                </c:pt>
                <c:pt idx="7">
                  <c:v>1.1160740000000001E-2</c:v>
                </c:pt>
                <c:pt idx="8">
                  <c:v>1.061495E-2</c:v>
                </c:pt>
                <c:pt idx="9">
                  <c:v>9.9356400000000008E-3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34-3C49-B0E4-1AB0F5673CE7}"/>
            </c:ext>
          </c:extLst>
        </c:ser>
        <c:ser>
          <c:idx val="29"/>
          <c:order val="29"/>
          <c:tx>
            <c:strRef>
              <c:f>Ingreso!$A$31</c:f>
              <c:strCache>
                <c:ptCount val="1"/>
                <c:pt idx="0">
                  <c:v>Veracruz de Ignacio de la Llave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FA722850-082D-6249-9B87-54E69604BE81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D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Ingreso!$B$31:$K$31</c:f>
              <c:numCache>
                <c:formatCode>General</c:formatCode>
                <c:ptCount val="10"/>
                <c:pt idx="0">
                  <c:v>1.3857100000000001E-2</c:v>
                </c:pt>
                <c:pt idx="1">
                  <c:v>1.196646E-2</c:v>
                </c:pt>
                <c:pt idx="2">
                  <c:v>1.180528E-2</c:v>
                </c:pt>
                <c:pt idx="3">
                  <c:v>1.344296E-2</c:v>
                </c:pt>
                <c:pt idx="4">
                  <c:v>1.3268179999999999E-2</c:v>
                </c:pt>
                <c:pt idx="5">
                  <c:v>1.236697E-2</c:v>
                </c:pt>
                <c:pt idx="6">
                  <c:v>2.3402570000000001E-2</c:v>
                </c:pt>
                <c:pt idx="7">
                  <c:v>3.1714619999999999E-2</c:v>
                </c:pt>
                <c:pt idx="8">
                  <c:v>1.8597949999999999E-2</c:v>
                </c:pt>
                <c:pt idx="9">
                  <c:v>9.7126899999999995E-3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B34-3C49-B0E4-1AB0F5673CE7}"/>
            </c:ext>
          </c:extLst>
        </c:ser>
        <c:ser>
          <c:idx val="30"/>
          <c:order val="30"/>
          <c:tx>
            <c:strRef>
              <c:f>Ingreso!$A$32</c:f>
              <c:strCache>
                <c:ptCount val="1"/>
                <c:pt idx="0">
                  <c:v>Yucatán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9E1F7579-E1A9-7A4C-9A26-504F8F167A88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E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Ingreso!$B$32:$K$32</c:f>
              <c:numCache>
                <c:formatCode>General</c:formatCode>
                <c:ptCount val="10"/>
                <c:pt idx="0">
                  <c:v>1.192787E-2</c:v>
                </c:pt>
                <c:pt idx="1">
                  <c:v>1.1325139999999999E-2</c:v>
                </c:pt>
                <c:pt idx="2">
                  <c:v>1.1291229999999999E-2</c:v>
                </c:pt>
                <c:pt idx="3">
                  <c:v>1.0599890000000001E-2</c:v>
                </c:pt>
                <c:pt idx="4">
                  <c:v>1.1944919999999999E-2</c:v>
                </c:pt>
                <c:pt idx="5">
                  <c:v>1.071505E-2</c:v>
                </c:pt>
                <c:pt idx="6">
                  <c:v>9.7363299999999996E-3</c:v>
                </c:pt>
                <c:pt idx="7">
                  <c:v>7.3725700000000002E-3</c:v>
                </c:pt>
                <c:pt idx="8">
                  <c:v>7.9762700000000006E-3</c:v>
                </c:pt>
                <c:pt idx="9">
                  <c:v>7.8162200000000005E-3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34-3C49-B0E4-1AB0F5673CE7}"/>
            </c:ext>
          </c:extLst>
        </c:ser>
        <c:ser>
          <c:idx val="31"/>
          <c:order val="31"/>
          <c:tx>
            <c:strRef>
              <c:f>Ingreso!$A$33</c:f>
              <c:strCache>
                <c:ptCount val="1"/>
                <c:pt idx="0">
                  <c:v>Zacatecas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tx>
                <c:rich>
                  <a:bodyPr/>
                  <a:lstStyle/>
                  <a:p>
                    <a:fld id="{4B4C039C-ED80-FC46-ACC0-AC68830BF652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F-5B34-3C49-B0E4-1AB0F5673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Ingreso!$D$106:$M$106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Ingreso!$B$33:$K$33</c:f>
              <c:numCache>
                <c:formatCode>General</c:formatCode>
                <c:ptCount val="10"/>
                <c:pt idx="0">
                  <c:v>1.6749679999999999E-2</c:v>
                </c:pt>
                <c:pt idx="1">
                  <c:v>1.5142950000000001E-2</c:v>
                </c:pt>
                <c:pt idx="2">
                  <c:v>1.457148E-2</c:v>
                </c:pt>
                <c:pt idx="3">
                  <c:v>1.5581889999999999E-2</c:v>
                </c:pt>
                <c:pt idx="4">
                  <c:v>1.239004E-2</c:v>
                </c:pt>
                <c:pt idx="5">
                  <c:v>8.6072200000000005E-3</c:v>
                </c:pt>
                <c:pt idx="6">
                  <c:v>2.7452750000000001E-2</c:v>
                </c:pt>
                <c:pt idx="7">
                  <c:v>2.3216199999999999E-2</c:v>
                </c:pt>
                <c:pt idx="8">
                  <c:v>1.106033E-2</c:v>
                </c:pt>
                <c:pt idx="9">
                  <c:v>1.054064E-2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B34-3C49-B0E4-1AB0F5673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53055"/>
        <c:axId val="816754767"/>
      </c:lineChart>
      <c:catAx>
        <c:axId val="81675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6754767"/>
        <c:crosses val="autoZero"/>
        <c:auto val="1"/>
        <c:lblAlgn val="ctr"/>
        <c:lblOffset val="100"/>
        <c:noMultiLvlLbl val="0"/>
      </c:catAx>
      <c:valAx>
        <c:axId val="8167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Coeficiente de Gini espacial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67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40</xdr:row>
      <xdr:rowOff>50800</xdr:rowOff>
    </xdr:from>
    <xdr:to>
      <xdr:col>19</xdr:col>
      <xdr:colOff>228600</xdr:colOff>
      <xdr:row>69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178337-3AFD-E663-8EE9-1863F22D6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38</xdr:row>
      <xdr:rowOff>177800</xdr:rowOff>
    </xdr:from>
    <xdr:to>
      <xdr:col>14</xdr:col>
      <xdr:colOff>12700</xdr:colOff>
      <xdr:row>53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F744BC-5BC2-242C-3A26-D4DE990DA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703856</xdr:colOff>
      <xdr:row>75</xdr:row>
      <xdr:rowOff>76506</xdr:rowOff>
    </xdr:from>
    <xdr:to>
      <xdr:col>17</xdr:col>
      <xdr:colOff>557882</xdr:colOff>
      <xdr:row>102</xdr:row>
      <xdr:rowOff>15303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470881-9F2A-2374-0A6C-FC638EEC1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E4A2-9571-DA46-AEF2-B53EE95F0B9E}">
  <dimension ref="A1:X33"/>
  <sheetViews>
    <sheetView tabSelected="1" topLeftCell="N1" workbookViewId="0">
      <selection activeCell="Y1" sqref="Y1"/>
    </sheetView>
  </sheetViews>
  <sheetFormatPr baseColWidth="10" defaultRowHeight="16" x14ac:dyDescent="0.2"/>
  <cols>
    <col min="2" max="2" width="44.5" customWidth="1"/>
  </cols>
  <sheetData>
    <row r="1" spans="1:24" x14ac:dyDescent="0.2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</v>
      </c>
      <c r="X1" t="s">
        <v>57</v>
      </c>
    </row>
    <row r="2" spans="1:24" x14ac:dyDescent="0.2">
      <c r="A2" s="2" t="s">
        <v>66</v>
      </c>
      <c r="B2" t="s">
        <v>21</v>
      </c>
      <c r="C2">
        <v>0.12686599700000001</v>
      </c>
      <c r="D2">
        <v>0.11329871</v>
      </c>
      <c r="E2">
        <v>0.119387112</v>
      </c>
      <c r="F2">
        <v>0.113872289</v>
      </c>
      <c r="G2">
        <v>0.11016904600000001</v>
      </c>
      <c r="H2">
        <v>0.112406857</v>
      </c>
      <c r="I2">
        <v>0.116160931</v>
      </c>
      <c r="J2">
        <v>0.118659606</v>
      </c>
      <c r="K2">
        <v>0.116151693</v>
      </c>
      <c r="L2">
        <v>0.116647812</v>
      </c>
      <c r="M2">
        <v>8.7833890000000008E-3</v>
      </c>
      <c r="N2">
        <v>1.5994105000000002E-2</v>
      </c>
      <c r="O2">
        <v>9.8974319999999994E-3</v>
      </c>
      <c r="P2">
        <v>9.9226149999999992E-3</v>
      </c>
      <c r="Q2">
        <v>1.2090007999999999E-2</v>
      </c>
      <c r="R2">
        <v>8.0652959999999996E-3</v>
      </c>
      <c r="S2">
        <v>9.8698569999999992E-3</v>
      </c>
      <c r="T2">
        <v>6.4626550000000003E-3</v>
      </c>
      <c r="U2">
        <v>9.0110529999999998E-3</v>
      </c>
      <c r="V2">
        <v>1.1552959999999999E-2</v>
      </c>
      <c r="W2">
        <v>1.0164937000000001E-2</v>
      </c>
      <c r="X2">
        <v>0.1163620053</v>
      </c>
    </row>
    <row r="3" spans="1:24" x14ac:dyDescent="0.2">
      <c r="A3" s="2" t="s">
        <v>67</v>
      </c>
      <c r="B3" t="s">
        <v>22</v>
      </c>
      <c r="C3">
        <v>0.19807887099999999</v>
      </c>
      <c r="D3">
        <v>0.18391959299999999</v>
      </c>
      <c r="E3">
        <v>0.21362165599999999</v>
      </c>
      <c r="F3">
        <v>0.18880855299999999</v>
      </c>
      <c r="G3">
        <v>0.20209173799999999</v>
      </c>
      <c r="H3">
        <v>0.20359753999999999</v>
      </c>
      <c r="I3">
        <v>0.19046586800000001</v>
      </c>
      <c r="J3">
        <v>0.20703421999999999</v>
      </c>
      <c r="K3">
        <v>0.18720890200000001</v>
      </c>
      <c r="L3">
        <v>0.205880493</v>
      </c>
      <c r="M3">
        <v>3.6431749999999998E-3</v>
      </c>
      <c r="N3">
        <v>1.3193709E-2</v>
      </c>
      <c r="O3">
        <v>8.894519E-3</v>
      </c>
      <c r="P3">
        <v>7.4839160000000002E-3</v>
      </c>
      <c r="Q3">
        <v>4.3206049999999999E-3</v>
      </c>
      <c r="R3">
        <v>5.2513776999999998E-2</v>
      </c>
      <c r="S3">
        <v>6.2804888000000003E-2</v>
      </c>
      <c r="T3">
        <v>4.6978809000000003E-2</v>
      </c>
      <c r="U3">
        <v>1.8864908E-2</v>
      </c>
      <c r="V3">
        <v>5.1826175000000002E-2</v>
      </c>
      <c r="W3">
        <v>2.7052448100000005E-2</v>
      </c>
      <c r="X3">
        <v>0.1980707434</v>
      </c>
    </row>
    <row r="4" spans="1:24" x14ac:dyDescent="0.2">
      <c r="A4" s="2" t="s">
        <v>68</v>
      </c>
      <c r="B4" t="s">
        <v>23</v>
      </c>
      <c r="C4">
        <v>0.133805166</v>
      </c>
      <c r="D4">
        <v>0.13935365199999999</v>
      </c>
      <c r="E4">
        <v>0.146812055</v>
      </c>
      <c r="F4">
        <v>0.11475700799999999</v>
      </c>
      <c r="G4">
        <v>0.12294308900000001</v>
      </c>
      <c r="H4">
        <v>0.14819926899999999</v>
      </c>
      <c r="I4">
        <v>0.119317116</v>
      </c>
      <c r="J4">
        <v>0.13336077700000001</v>
      </c>
      <c r="K4">
        <v>0.131736612</v>
      </c>
      <c r="L4">
        <v>0.114000111</v>
      </c>
      <c r="M4">
        <v>1.1938799E-2</v>
      </c>
      <c r="N4">
        <v>7.5086839999999998E-3</v>
      </c>
      <c r="O4">
        <v>9.1812430000000004E-3</v>
      </c>
      <c r="P4">
        <v>5.1528900000000002E-3</v>
      </c>
      <c r="Q4">
        <v>6.2870809999999999E-3</v>
      </c>
      <c r="R4">
        <v>5.4774630000000001E-3</v>
      </c>
      <c r="S4">
        <v>5.7625860000000001E-3</v>
      </c>
      <c r="T4">
        <v>2.0066289999999998E-3</v>
      </c>
      <c r="U4">
        <v>2.7677359999999998E-3</v>
      </c>
      <c r="V4">
        <v>6.3853759999999999E-3</v>
      </c>
      <c r="W4">
        <v>6.2468487E-3</v>
      </c>
      <c r="X4">
        <v>0.13042848550000002</v>
      </c>
    </row>
    <row r="5" spans="1:24" x14ac:dyDescent="0.2">
      <c r="A5" s="2" t="s">
        <v>69</v>
      </c>
      <c r="B5" t="s">
        <v>24</v>
      </c>
      <c r="C5">
        <v>0.18877809400000001</v>
      </c>
      <c r="D5">
        <v>0.18633317599999999</v>
      </c>
      <c r="E5">
        <v>0.19447667599999999</v>
      </c>
      <c r="F5">
        <v>0.181079715</v>
      </c>
      <c r="G5">
        <v>0.16456364800000001</v>
      </c>
      <c r="H5">
        <v>0.174267539</v>
      </c>
      <c r="I5">
        <v>0.17364749700000001</v>
      </c>
      <c r="J5">
        <v>0.159379727</v>
      </c>
      <c r="K5">
        <v>0.16643401399999999</v>
      </c>
      <c r="L5">
        <v>0.15321097</v>
      </c>
      <c r="M5">
        <v>1.8179038000000002E-2</v>
      </c>
      <c r="N5">
        <v>1.0566157E-2</v>
      </c>
      <c r="O5">
        <v>1.1529017000000001E-2</v>
      </c>
      <c r="P5">
        <v>8.0850379999999993E-3</v>
      </c>
      <c r="Q5">
        <v>1.0338955E-2</v>
      </c>
      <c r="R5">
        <v>1.5117688000000001E-2</v>
      </c>
      <c r="S5">
        <v>8.4413690000000006E-3</v>
      </c>
      <c r="T5">
        <v>8.1439170000000005E-3</v>
      </c>
      <c r="U5">
        <v>9.8126870000000005E-3</v>
      </c>
      <c r="V5">
        <v>9.9586610000000006E-3</v>
      </c>
      <c r="W5">
        <v>1.1017252700000002E-2</v>
      </c>
      <c r="X5">
        <v>0.17421710559999998</v>
      </c>
    </row>
    <row r="6" spans="1:24" x14ac:dyDescent="0.2">
      <c r="A6" s="2" t="s">
        <v>72</v>
      </c>
      <c r="B6" t="s">
        <v>25</v>
      </c>
      <c r="C6">
        <v>8.1406939999999997E-2</v>
      </c>
      <c r="D6">
        <v>8.1270550999999996E-2</v>
      </c>
      <c r="E6">
        <v>8.2097435999999996E-2</v>
      </c>
      <c r="F6">
        <v>7.8326935E-2</v>
      </c>
      <c r="G6">
        <v>7.6024667000000004E-2</v>
      </c>
      <c r="H6">
        <v>7.8221587999999995E-2</v>
      </c>
      <c r="I6">
        <v>7.9279934999999996E-2</v>
      </c>
      <c r="J6">
        <v>8.2834783999999995E-2</v>
      </c>
      <c r="K6">
        <v>7.8871501999999996E-2</v>
      </c>
      <c r="L6">
        <v>7.8294190999999999E-2</v>
      </c>
      <c r="M6">
        <v>1.3439672999999999E-2</v>
      </c>
      <c r="N6">
        <v>1.2174508000000001E-2</v>
      </c>
      <c r="O6">
        <v>1.1509314E-2</v>
      </c>
      <c r="P6">
        <v>1.1554658000000001E-2</v>
      </c>
      <c r="Q6">
        <v>1.1551623E-2</v>
      </c>
      <c r="R6">
        <v>1.1693627E-2</v>
      </c>
      <c r="S6">
        <v>1.3657591E-2</v>
      </c>
      <c r="T6">
        <v>2.0237147E-2</v>
      </c>
      <c r="U6">
        <v>1.4300139E-2</v>
      </c>
      <c r="V6">
        <v>1.2000507000000001E-2</v>
      </c>
      <c r="W6">
        <v>1.3211878699999999E-2</v>
      </c>
      <c r="X6">
        <v>7.9662852899999997E-2</v>
      </c>
    </row>
    <row r="7" spans="1:24" x14ac:dyDescent="0.2">
      <c r="A7" s="2" t="s">
        <v>73</v>
      </c>
      <c r="B7" t="s">
        <v>26</v>
      </c>
      <c r="C7">
        <v>9.7768499999999994E-2</v>
      </c>
      <c r="D7">
        <v>9.1945431999999994E-2</v>
      </c>
      <c r="E7">
        <v>9.3880271000000001E-2</v>
      </c>
      <c r="F7">
        <v>8.9037656000000007E-2</v>
      </c>
      <c r="G7">
        <v>9.3417641999999995E-2</v>
      </c>
      <c r="H7">
        <v>9.4900752000000005E-2</v>
      </c>
      <c r="I7">
        <v>9.3417170999999993E-2</v>
      </c>
      <c r="J7">
        <v>9.3396379000000002E-2</v>
      </c>
      <c r="K7">
        <v>9.0471444999999998E-2</v>
      </c>
      <c r="L7">
        <v>9.7430010999999997E-2</v>
      </c>
      <c r="M7">
        <v>1.4793274E-2</v>
      </c>
      <c r="N7">
        <v>1.0046195000000001E-2</v>
      </c>
      <c r="O7">
        <v>9.7946530000000004E-3</v>
      </c>
      <c r="P7">
        <v>1.1005631E-2</v>
      </c>
      <c r="Q7">
        <v>9.7903109999999995E-3</v>
      </c>
      <c r="R7">
        <v>8.1360129999999992E-3</v>
      </c>
      <c r="S7">
        <v>7.7616029999999997E-3</v>
      </c>
      <c r="T7">
        <v>7.6734070000000001E-3</v>
      </c>
      <c r="U7">
        <v>7.5871070000000001E-3</v>
      </c>
      <c r="V7">
        <v>7.2904040000000003E-3</v>
      </c>
      <c r="W7">
        <v>9.3878597999999987E-3</v>
      </c>
      <c r="X7">
        <v>9.3566525900000003E-2</v>
      </c>
    </row>
    <row r="8" spans="1:24" x14ac:dyDescent="0.2">
      <c r="A8" s="2" t="s">
        <v>74</v>
      </c>
      <c r="B8" t="s">
        <v>58</v>
      </c>
      <c r="C8">
        <v>0.14054030000000001</v>
      </c>
      <c r="D8">
        <v>0.15394845099999999</v>
      </c>
      <c r="E8">
        <v>0.158278435</v>
      </c>
      <c r="F8">
        <v>0.14809835399999999</v>
      </c>
      <c r="G8">
        <v>0.15631367099999999</v>
      </c>
      <c r="H8">
        <v>0.154700698</v>
      </c>
      <c r="I8">
        <v>0.132079575</v>
      </c>
      <c r="J8">
        <v>0.14183801200000001</v>
      </c>
      <c r="K8">
        <v>0.16857847000000001</v>
      </c>
      <c r="L8">
        <v>0.15763407700000001</v>
      </c>
      <c r="M8">
        <v>1.1745207000000001E-2</v>
      </c>
      <c r="N8">
        <v>1.4379888E-2</v>
      </c>
      <c r="O8">
        <v>7.6853060000000003E-3</v>
      </c>
      <c r="P8">
        <v>8.9150319999999998E-3</v>
      </c>
      <c r="Q8">
        <v>1.2362557E-2</v>
      </c>
      <c r="R8">
        <v>1.0619556E-2</v>
      </c>
      <c r="S8">
        <v>8.3964669999999995E-3</v>
      </c>
      <c r="T8">
        <v>8.9455290000000007E-3</v>
      </c>
      <c r="U8">
        <v>7.2565759999999998E-3</v>
      </c>
      <c r="V8">
        <v>8.1904049999999996E-3</v>
      </c>
      <c r="W8">
        <v>9.8496523000000009E-3</v>
      </c>
      <c r="X8">
        <v>0.1512010043</v>
      </c>
    </row>
    <row r="9" spans="1:24" x14ac:dyDescent="0.2">
      <c r="A9" s="2" t="s">
        <v>70</v>
      </c>
      <c r="B9" t="s">
        <v>27</v>
      </c>
      <c r="C9">
        <v>0.141193914</v>
      </c>
      <c r="D9">
        <v>0.137588925</v>
      </c>
      <c r="E9">
        <v>0.13040907900000001</v>
      </c>
      <c r="F9">
        <v>0.13937959999999999</v>
      </c>
      <c r="G9">
        <v>0.14059163499999999</v>
      </c>
      <c r="H9">
        <v>0.13936278399999999</v>
      </c>
      <c r="I9">
        <v>0.13760234499999999</v>
      </c>
      <c r="J9">
        <v>0.14403101300000001</v>
      </c>
      <c r="K9">
        <v>0.136220601</v>
      </c>
      <c r="L9">
        <v>0.13563630300000001</v>
      </c>
      <c r="M9">
        <v>1.5418678999999999E-2</v>
      </c>
      <c r="N9">
        <v>9.9302939999999992E-3</v>
      </c>
      <c r="O9">
        <v>8.2325139999999998E-3</v>
      </c>
      <c r="P9">
        <v>1.1269558000000001E-2</v>
      </c>
      <c r="Q9">
        <v>1.2223639E-2</v>
      </c>
      <c r="R9">
        <v>1.2714428E-2</v>
      </c>
      <c r="S9">
        <v>1.4474088E-2</v>
      </c>
      <c r="T9">
        <v>1.2649018E-2</v>
      </c>
      <c r="U9">
        <v>1.26827E-2</v>
      </c>
      <c r="V9">
        <v>8.4010390000000008E-3</v>
      </c>
      <c r="W9">
        <v>1.1799595699999998E-2</v>
      </c>
      <c r="X9">
        <v>0.13820161990000002</v>
      </c>
    </row>
    <row r="10" spans="1:24" x14ac:dyDescent="0.2">
      <c r="A10" s="2" t="s">
        <v>71</v>
      </c>
      <c r="B10" t="s">
        <v>28</v>
      </c>
      <c r="C10">
        <v>0.12931182699999999</v>
      </c>
      <c r="D10">
        <v>0.13301764699999999</v>
      </c>
      <c r="E10">
        <v>0.13065146</v>
      </c>
      <c r="F10">
        <v>0.140353229</v>
      </c>
      <c r="G10">
        <v>0.131738299</v>
      </c>
      <c r="H10">
        <v>0.13898439800000001</v>
      </c>
      <c r="I10">
        <v>0.12377946500000001</v>
      </c>
      <c r="J10">
        <v>0.13386388499999999</v>
      </c>
      <c r="K10">
        <v>0.124118756</v>
      </c>
      <c r="L10">
        <v>0.142438708</v>
      </c>
      <c r="M10">
        <v>1.0533228E-2</v>
      </c>
      <c r="N10">
        <v>1.1199727E-2</v>
      </c>
      <c r="O10">
        <v>1.2071477000000001E-2</v>
      </c>
      <c r="P10">
        <v>6.062235E-3</v>
      </c>
      <c r="Q10">
        <v>9.3062779999999994E-3</v>
      </c>
      <c r="R10">
        <v>6.8098179999999996E-3</v>
      </c>
      <c r="S10">
        <v>9.8999280000000005E-3</v>
      </c>
      <c r="T10">
        <v>6.8579360000000002E-3</v>
      </c>
      <c r="U10">
        <v>6.5413509999999999E-3</v>
      </c>
      <c r="V10">
        <v>9.1628600000000001E-3</v>
      </c>
      <c r="W10">
        <v>8.8444837999999987E-3</v>
      </c>
      <c r="X10">
        <v>0.13282576739999999</v>
      </c>
    </row>
    <row r="11" spans="1:24" x14ac:dyDescent="0.2">
      <c r="A11" s="2" t="s">
        <v>75</v>
      </c>
      <c r="B11" t="s">
        <v>29</v>
      </c>
      <c r="C11">
        <v>9.8894503999999994E-2</v>
      </c>
      <c r="D11">
        <v>9.3469747000000006E-2</v>
      </c>
      <c r="E11">
        <v>9.0643462999999994E-2</v>
      </c>
      <c r="F11">
        <v>9.0914043999999999E-2</v>
      </c>
      <c r="G11">
        <v>9.6258134999999995E-2</v>
      </c>
      <c r="H11">
        <v>9.6889343000000003E-2</v>
      </c>
      <c r="I11">
        <v>9.0785632000000005E-2</v>
      </c>
      <c r="J11">
        <v>8.8317577999999994E-2</v>
      </c>
      <c r="K11">
        <v>8.9054816999999994E-2</v>
      </c>
      <c r="L11">
        <v>9.4786899999999993E-2</v>
      </c>
      <c r="M11">
        <v>1.3653847E-2</v>
      </c>
      <c r="N11">
        <v>1.310033E-2</v>
      </c>
      <c r="O11">
        <v>1.0889973000000001E-2</v>
      </c>
      <c r="P11">
        <v>1.2088656E-2</v>
      </c>
      <c r="Q11">
        <v>1.3562253E-2</v>
      </c>
      <c r="R11">
        <v>1.3029626000000001E-2</v>
      </c>
      <c r="S11">
        <v>1.0132237000000001E-2</v>
      </c>
      <c r="T11">
        <v>8.5826540000000003E-3</v>
      </c>
      <c r="U11">
        <v>8.1290259999999993E-3</v>
      </c>
      <c r="V11">
        <v>7.5645369999999997E-3</v>
      </c>
      <c r="W11">
        <v>1.1073313899999999E-2</v>
      </c>
      <c r="X11">
        <v>9.3001416299999987E-2</v>
      </c>
    </row>
    <row r="12" spans="1:24" x14ac:dyDescent="0.2">
      <c r="A12" s="2" t="s">
        <v>76</v>
      </c>
      <c r="B12" t="s">
        <v>30</v>
      </c>
      <c r="C12">
        <v>0.10776435500000001</v>
      </c>
      <c r="D12">
        <v>0.10654269299999999</v>
      </c>
      <c r="E12">
        <v>0.10580838400000001</v>
      </c>
      <c r="F12">
        <v>0.11117196</v>
      </c>
      <c r="G12">
        <v>0.110221924</v>
      </c>
      <c r="H12">
        <v>0.10572342</v>
      </c>
      <c r="I12">
        <v>0.103728559</v>
      </c>
      <c r="J12">
        <v>0.105706283</v>
      </c>
      <c r="K12">
        <v>0.103806967</v>
      </c>
      <c r="L12">
        <v>0.107816963</v>
      </c>
      <c r="M12">
        <v>1.4828633000000001E-2</v>
      </c>
      <c r="N12">
        <v>1.4905488999999999E-2</v>
      </c>
      <c r="O12">
        <v>1.0029157E-2</v>
      </c>
      <c r="P12">
        <v>1.4081577E-2</v>
      </c>
      <c r="Q12">
        <v>1.2758441000000001E-2</v>
      </c>
      <c r="R12">
        <v>9.5483159999999994E-3</v>
      </c>
      <c r="S12">
        <v>1.0638849000000001E-2</v>
      </c>
      <c r="T12">
        <v>8.6069779999999995E-3</v>
      </c>
      <c r="U12">
        <v>1.1330593999999999E-2</v>
      </c>
      <c r="V12">
        <v>9.8857270000000004E-3</v>
      </c>
      <c r="W12">
        <v>1.1661376099999999E-2</v>
      </c>
      <c r="X12">
        <v>0.10682915080000002</v>
      </c>
    </row>
    <row r="13" spans="1:24" x14ac:dyDescent="0.2">
      <c r="A13" s="2" t="s">
        <v>77</v>
      </c>
      <c r="B13" t="s">
        <v>31</v>
      </c>
      <c r="C13">
        <v>7.9034071999999997E-2</v>
      </c>
      <c r="D13">
        <v>8.0435057000000004E-2</v>
      </c>
      <c r="E13">
        <v>7.7832164999999995E-2</v>
      </c>
      <c r="F13">
        <v>7.7746423999999995E-2</v>
      </c>
      <c r="G13">
        <v>8.0480024999999997E-2</v>
      </c>
      <c r="H13">
        <v>7.8684538999999998E-2</v>
      </c>
      <c r="I13">
        <v>7.3921047000000004E-2</v>
      </c>
      <c r="J13">
        <v>7.7260743000000007E-2</v>
      </c>
      <c r="K13">
        <v>7.4693421999999995E-2</v>
      </c>
      <c r="L13">
        <v>7.7101618999999996E-2</v>
      </c>
      <c r="M13">
        <v>1.7809796999999999E-2</v>
      </c>
      <c r="N13">
        <v>1.3642748E-2</v>
      </c>
      <c r="O13">
        <v>1.3818857E-2</v>
      </c>
      <c r="P13">
        <v>1.5440712000000001E-2</v>
      </c>
      <c r="Q13">
        <v>1.2170946E-2</v>
      </c>
      <c r="R13">
        <v>1.5413971E-2</v>
      </c>
      <c r="S13">
        <v>1.2098292E-2</v>
      </c>
      <c r="T13">
        <v>1.2001962999999999E-2</v>
      </c>
      <c r="U13">
        <v>9.9091539999999999E-3</v>
      </c>
      <c r="V13">
        <v>9.7910170000000008E-3</v>
      </c>
      <c r="W13">
        <v>1.3209745700000001E-2</v>
      </c>
      <c r="X13">
        <v>7.7718911299999999E-2</v>
      </c>
    </row>
    <row r="14" spans="1:24" x14ac:dyDescent="0.2">
      <c r="A14" s="2" t="s">
        <v>78</v>
      </c>
      <c r="B14" t="s">
        <v>32</v>
      </c>
      <c r="C14">
        <v>7.4466492999999995E-2</v>
      </c>
      <c r="D14">
        <v>7.1699732000000002E-2</v>
      </c>
      <c r="E14">
        <v>6.9322831000000001E-2</v>
      </c>
      <c r="F14">
        <v>7.3121040999999998E-2</v>
      </c>
      <c r="G14">
        <v>7.5211265999999999E-2</v>
      </c>
      <c r="H14">
        <v>7.2477430999999995E-2</v>
      </c>
      <c r="I14">
        <v>7.1067617E-2</v>
      </c>
      <c r="J14">
        <v>7.4620496999999994E-2</v>
      </c>
      <c r="K14">
        <v>7.2456188000000005E-2</v>
      </c>
      <c r="L14">
        <v>7.2587874999999996E-2</v>
      </c>
      <c r="M14">
        <v>1.4170823000000001E-2</v>
      </c>
      <c r="N14">
        <v>1.1872288999999999E-2</v>
      </c>
      <c r="O14">
        <v>9.9019710000000007E-3</v>
      </c>
      <c r="P14">
        <v>9.7059569999999994E-3</v>
      </c>
      <c r="Q14">
        <v>1.1806962000000001E-2</v>
      </c>
      <c r="R14">
        <v>1.0069803E-2</v>
      </c>
      <c r="S14">
        <v>1.0853765E-2</v>
      </c>
      <c r="T14">
        <v>1.0400609E-2</v>
      </c>
      <c r="U14">
        <v>8.0168059999999996E-3</v>
      </c>
      <c r="V14">
        <v>8.9888369999999995E-3</v>
      </c>
      <c r="W14">
        <v>1.0578782200000001E-2</v>
      </c>
      <c r="X14">
        <v>7.2703097099999975E-2</v>
      </c>
    </row>
    <row r="15" spans="1:24" x14ac:dyDescent="0.2">
      <c r="A15" s="2" t="s">
        <v>79</v>
      </c>
      <c r="B15" t="s">
        <v>33</v>
      </c>
      <c r="C15">
        <v>8.5167904000000003E-2</v>
      </c>
      <c r="D15">
        <v>8.4093360000000006E-2</v>
      </c>
      <c r="E15">
        <v>8.2193843000000003E-2</v>
      </c>
      <c r="F15">
        <v>8.2352135000000007E-2</v>
      </c>
      <c r="G15">
        <v>8.4127286999999995E-2</v>
      </c>
      <c r="H15">
        <v>8.2966605999999998E-2</v>
      </c>
      <c r="I15">
        <v>8.1132738999999995E-2</v>
      </c>
      <c r="J15">
        <v>8.5769588999999993E-2</v>
      </c>
      <c r="K15">
        <v>8.0811589000000003E-2</v>
      </c>
      <c r="L15">
        <v>8.5622089999999998E-2</v>
      </c>
      <c r="M15">
        <v>1.3693145E-2</v>
      </c>
      <c r="N15">
        <v>1.0171186E-2</v>
      </c>
      <c r="O15">
        <v>8.7318640000000006E-3</v>
      </c>
      <c r="P15">
        <v>1.0972447999999999E-2</v>
      </c>
      <c r="Q15">
        <v>1.0709444E-2</v>
      </c>
      <c r="R15">
        <v>1.0030707E-2</v>
      </c>
      <c r="S15">
        <v>9.6062360000000006E-3</v>
      </c>
      <c r="T15">
        <v>8.6669339999999994E-3</v>
      </c>
      <c r="U15">
        <v>1.0469274000000001E-2</v>
      </c>
      <c r="V15">
        <v>7.8173280000000001E-3</v>
      </c>
      <c r="W15">
        <v>1.0086856600000001E-2</v>
      </c>
      <c r="X15">
        <v>8.3423714199999985E-2</v>
      </c>
    </row>
    <row r="16" spans="1:24" x14ac:dyDescent="0.2">
      <c r="A16" s="2" t="s">
        <v>80</v>
      </c>
      <c r="B16" t="s">
        <v>59</v>
      </c>
      <c r="C16">
        <v>6.9095691000000001E-2</v>
      </c>
      <c r="D16">
        <v>6.8106951999999998E-2</v>
      </c>
      <c r="E16">
        <v>6.9275354999999997E-2</v>
      </c>
      <c r="F16">
        <v>6.7084815000000006E-2</v>
      </c>
      <c r="G16">
        <v>6.7979693999999993E-2</v>
      </c>
      <c r="H16">
        <v>6.6659236999999996E-2</v>
      </c>
      <c r="I16">
        <v>6.8158801000000005E-2</v>
      </c>
      <c r="J16">
        <v>6.9682632999999994E-2</v>
      </c>
      <c r="K16">
        <v>6.6529174999999996E-2</v>
      </c>
      <c r="L16">
        <v>6.8615582999999994E-2</v>
      </c>
      <c r="M16">
        <v>1.1013464000000001E-2</v>
      </c>
      <c r="N16">
        <v>1.1640681E-2</v>
      </c>
      <c r="O16">
        <v>1.0507478000000001E-2</v>
      </c>
      <c r="P16">
        <v>1.0731387E-2</v>
      </c>
      <c r="Q16">
        <v>9.8616550000000004E-3</v>
      </c>
      <c r="R16">
        <v>9.3172649999999999E-3</v>
      </c>
      <c r="S16">
        <v>9.7703770000000002E-3</v>
      </c>
      <c r="T16">
        <v>8.3026950000000006E-3</v>
      </c>
      <c r="U16">
        <v>9.9442309999999996E-3</v>
      </c>
      <c r="V16">
        <v>7.5084410000000002E-3</v>
      </c>
      <c r="W16">
        <v>9.8597674000000003E-3</v>
      </c>
      <c r="X16">
        <v>6.8118793599999991E-2</v>
      </c>
    </row>
    <row r="17" spans="1:24" x14ac:dyDescent="0.2">
      <c r="A17" s="2" t="s">
        <v>81</v>
      </c>
      <c r="B17" t="s">
        <v>34</v>
      </c>
      <c r="C17">
        <v>9.9581627000000006E-2</v>
      </c>
      <c r="D17">
        <v>0.100012982</v>
      </c>
      <c r="E17">
        <v>0.10222727500000001</v>
      </c>
      <c r="F17">
        <v>9.4882000999999994E-2</v>
      </c>
      <c r="G17">
        <v>9.5261720999999994E-2</v>
      </c>
      <c r="H17">
        <v>9.2978948000000006E-2</v>
      </c>
      <c r="I17">
        <v>9.2819398999999997E-2</v>
      </c>
      <c r="J17">
        <v>9.9460530000000005E-2</v>
      </c>
      <c r="K17">
        <v>8.8284915000000005E-2</v>
      </c>
      <c r="L17">
        <v>9.3471580999999998E-2</v>
      </c>
      <c r="M17">
        <v>1.2551252000000001E-2</v>
      </c>
      <c r="N17">
        <v>1.2440255000000001E-2</v>
      </c>
      <c r="O17">
        <v>1.4171143000000001E-2</v>
      </c>
      <c r="P17">
        <v>1.0933587E-2</v>
      </c>
      <c r="Q17">
        <v>1.2790631E-2</v>
      </c>
      <c r="R17">
        <v>1.5006481E-2</v>
      </c>
      <c r="S17">
        <v>1.5092192000000001E-2</v>
      </c>
      <c r="T17">
        <v>1.1466138000000001E-2</v>
      </c>
      <c r="U17">
        <v>7.8396500000000001E-3</v>
      </c>
      <c r="V17">
        <v>9.5519360000000005E-3</v>
      </c>
      <c r="W17">
        <v>1.2184326500000002E-2</v>
      </c>
      <c r="X17">
        <v>9.5898097900000007E-2</v>
      </c>
    </row>
    <row r="18" spans="1:24" x14ac:dyDescent="0.2">
      <c r="A18" s="2" t="s">
        <v>82</v>
      </c>
      <c r="B18" t="s">
        <v>60</v>
      </c>
      <c r="C18">
        <v>9.2066920999999996E-2</v>
      </c>
      <c r="D18">
        <v>9.4524266999999995E-2</v>
      </c>
      <c r="E18">
        <v>9.4002402999999998E-2</v>
      </c>
      <c r="F18">
        <v>9.5363727999999995E-2</v>
      </c>
      <c r="G18">
        <v>9.5861940000000007E-2</v>
      </c>
      <c r="H18">
        <v>9.5949494999999996E-2</v>
      </c>
      <c r="I18">
        <v>9.4445588999999996E-2</v>
      </c>
      <c r="J18">
        <v>9.6500791000000002E-2</v>
      </c>
      <c r="K18">
        <v>9.3009656999999996E-2</v>
      </c>
      <c r="L18">
        <v>9.5167926999999999E-2</v>
      </c>
      <c r="M18">
        <v>2.2412398E-2</v>
      </c>
      <c r="N18">
        <v>1.6238438000000001E-2</v>
      </c>
      <c r="O18">
        <v>1.9905576000000001E-2</v>
      </c>
      <c r="P18">
        <v>2.6400419000000001E-2</v>
      </c>
      <c r="Q18">
        <v>3.2384819000000002E-2</v>
      </c>
      <c r="R18">
        <v>2.0565277E-2</v>
      </c>
      <c r="S18">
        <v>2.3329282999999999E-2</v>
      </c>
      <c r="T18">
        <v>1.5349776000000001E-2</v>
      </c>
      <c r="U18">
        <v>2.5247332000000001E-2</v>
      </c>
      <c r="V18">
        <v>1.5189609E-2</v>
      </c>
      <c r="W18">
        <v>2.1702292700000004E-2</v>
      </c>
      <c r="X18">
        <v>9.4689271800000002E-2</v>
      </c>
    </row>
    <row r="19" spans="1:24" x14ac:dyDescent="0.2">
      <c r="A19" s="2" t="s">
        <v>83</v>
      </c>
      <c r="B19" t="s">
        <v>35</v>
      </c>
      <c r="C19">
        <v>0.100841546</v>
      </c>
      <c r="D19">
        <v>8.8294958000000007E-2</v>
      </c>
      <c r="E19">
        <v>8.1611890000000006E-2</v>
      </c>
      <c r="F19">
        <v>8.9273198999999998E-2</v>
      </c>
      <c r="G19">
        <v>8.4462354000000003E-2</v>
      </c>
      <c r="H19">
        <v>8.4010639999999998E-2</v>
      </c>
      <c r="I19">
        <v>7.8188855000000002E-2</v>
      </c>
      <c r="J19">
        <v>8.5334006000000004E-2</v>
      </c>
      <c r="K19">
        <v>8.0576338999999997E-2</v>
      </c>
      <c r="L19">
        <v>7.8647218000000005E-2</v>
      </c>
      <c r="M19">
        <v>9.3114140000000005E-3</v>
      </c>
      <c r="N19">
        <v>8.1781719999999992E-3</v>
      </c>
      <c r="O19">
        <v>9.6244390000000003E-3</v>
      </c>
      <c r="P19">
        <v>8.2183589999999997E-3</v>
      </c>
      <c r="Q19">
        <v>7.5960100000000003E-3</v>
      </c>
      <c r="R19">
        <v>8.5580120000000003E-3</v>
      </c>
      <c r="S19">
        <v>8.2711409999999992E-3</v>
      </c>
      <c r="T19">
        <v>7.5984670000000002E-3</v>
      </c>
      <c r="U19">
        <v>6.5897500000000001E-3</v>
      </c>
      <c r="V19">
        <v>7.3066900000000002E-3</v>
      </c>
      <c r="W19">
        <v>8.1252453999999998E-3</v>
      </c>
      <c r="X19">
        <v>8.5124100499999994E-2</v>
      </c>
    </row>
    <row r="20" spans="1:24" x14ac:dyDescent="0.2">
      <c r="A20" s="2" t="s">
        <v>84</v>
      </c>
      <c r="B20" t="s">
        <v>61</v>
      </c>
      <c r="C20">
        <v>0.14435283199999999</v>
      </c>
      <c r="D20">
        <v>0.14034442599999999</v>
      </c>
      <c r="E20">
        <v>0.13987575299999999</v>
      </c>
      <c r="F20">
        <v>0.142057568</v>
      </c>
      <c r="G20">
        <v>0.144793801</v>
      </c>
      <c r="H20">
        <v>0.139314351</v>
      </c>
      <c r="I20">
        <v>0.139247238</v>
      </c>
      <c r="J20">
        <v>0.13716583399999999</v>
      </c>
      <c r="K20">
        <v>0.139675041</v>
      </c>
      <c r="L20">
        <v>0.143194453</v>
      </c>
      <c r="M20">
        <v>4.2464614999999997E-2</v>
      </c>
      <c r="N20">
        <v>5.4416056999999997E-2</v>
      </c>
      <c r="O20">
        <v>2.4007074E-2</v>
      </c>
      <c r="P20">
        <v>4.2592356999999997E-2</v>
      </c>
      <c r="Q20">
        <v>4.3075546999999999E-2</v>
      </c>
      <c r="R20">
        <v>1.0000593E-2</v>
      </c>
      <c r="S20">
        <v>8.3521784000000002E-2</v>
      </c>
      <c r="T20">
        <v>6.4665772999999996E-2</v>
      </c>
      <c r="U20">
        <v>4.5418180000000002E-2</v>
      </c>
      <c r="V20">
        <v>6.0432544999999997E-2</v>
      </c>
      <c r="W20">
        <v>4.7059452499999994E-2</v>
      </c>
      <c r="X20">
        <v>0.14100212969999998</v>
      </c>
    </row>
    <row r="21" spans="1:24" x14ac:dyDescent="0.2">
      <c r="A21" s="2" t="s">
        <v>85</v>
      </c>
      <c r="B21" t="s">
        <v>36</v>
      </c>
      <c r="C21">
        <v>8.9215608000000002E-2</v>
      </c>
      <c r="D21">
        <v>9.0343381E-2</v>
      </c>
      <c r="E21">
        <v>8.7839623000000006E-2</v>
      </c>
      <c r="F21">
        <v>8.8205104000000006E-2</v>
      </c>
      <c r="G21">
        <v>8.6878172000000004E-2</v>
      </c>
      <c r="H21">
        <v>8.6137195E-2</v>
      </c>
      <c r="I21">
        <v>8.4314811000000003E-2</v>
      </c>
      <c r="J21">
        <v>8.6233246999999999E-2</v>
      </c>
      <c r="K21">
        <v>8.8169444999999999E-2</v>
      </c>
      <c r="L21">
        <v>8.9269243999999998E-2</v>
      </c>
      <c r="M21">
        <v>1.3024232E-2</v>
      </c>
      <c r="N21">
        <v>1.3028268000000001E-2</v>
      </c>
      <c r="O21">
        <v>1.183436E-2</v>
      </c>
      <c r="P21">
        <v>1.2156234E-2</v>
      </c>
      <c r="Q21">
        <v>1.1355486999999999E-2</v>
      </c>
      <c r="R21">
        <v>1.1157749E-2</v>
      </c>
      <c r="S21">
        <v>9.7350089999999993E-3</v>
      </c>
      <c r="T21">
        <v>8.4103019999999997E-3</v>
      </c>
      <c r="U21">
        <v>8.3728610000000005E-3</v>
      </c>
      <c r="V21">
        <v>9.0045650000000008E-3</v>
      </c>
      <c r="W21">
        <v>1.08079067E-2</v>
      </c>
      <c r="X21">
        <v>8.7660583000000028E-2</v>
      </c>
    </row>
    <row r="22" spans="1:24" x14ac:dyDescent="0.2">
      <c r="A22" s="2" t="s">
        <v>86</v>
      </c>
      <c r="B22" t="s">
        <v>37</v>
      </c>
      <c r="C22">
        <v>7.7310181000000006E-2</v>
      </c>
      <c r="D22">
        <v>7.8503040999999996E-2</v>
      </c>
      <c r="E22">
        <v>7.4769241E-2</v>
      </c>
      <c r="F22">
        <v>7.3886587000000004E-2</v>
      </c>
      <c r="G22">
        <v>7.8326661000000006E-2</v>
      </c>
      <c r="H22">
        <v>7.8564903000000005E-2</v>
      </c>
      <c r="I22">
        <v>7.4765973999999999E-2</v>
      </c>
      <c r="J22">
        <v>7.6595698000000004E-2</v>
      </c>
      <c r="K22">
        <v>7.4951636000000002E-2</v>
      </c>
      <c r="L22">
        <v>7.6406629000000004E-2</v>
      </c>
      <c r="M22">
        <v>1.3010636000000001E-2</v>
      </c>
      <c r="N22">
        <v>1.1465893E-2</v>
      </c>
      <c r="O22">
        <v>1.1567780999999999E-2</v>
      </c>
      <c r="P22">
        <v>1.2965979000000001E-2</v>
      </c>
      <c r="Q22">
        <v>1.1886267000000001E-2</v>
      </c>
      <c r="R22">
        <v>1.4098897000000001E-2</v>
      </c>
      <c r="S22">
        <v>1.1949255000000001E-2</v>
      </c>
      <c r="T22">
        <v>1.0032579E-2</v>
      </c>
      <c r="U22">
        <v>8.2890310000000005E-3</v>
      </c>
      <c r="V22">
        <v>9.5803250000000006E-3</v>
      </c>
      <c r="W22">
        <v>1.1484664300000001E-2</v>
      </c>
      <c r="X22">
        <v>7.6408055099999997E-2</v>
      </c>
    </row>
    <row r="23" spans="1:24" x14ac:dyDescent="0.2">
      <c r="A23" s="2" t="s">
        <v>87</v>
      </c>
      <c r="B23" t="s">
        <v>62</v>
      </c>
      <c r="C23">
        <v>0.118678783</v>
      </c>
      <c r="D23">
        <v>0.131510762</v>
      </c>
      <c r="E23">
        <v>0.114911396</v>
      </c>
      <c r="F23">
        <v>0.116108685</v>
      </c>
      <c r="G23">
        <v>0.117609925</v>
      </c>
      <c r="H23">
        <v>0.13101187</v>
      </c>
      <c r="I23">
        <v>0.118851677</v>
      </c>
      <c r="J23">
        <v>0.12398743399999999</v>
      </c>
      <c r="K23">
        <v>0.126072609</v>
      </c>
      <c r="L23">
        <v>0.118323593</v>
      </c>
      <c r="M23">
        <v>1.0883244E-2</v>
      </c>
      <c r="N23">
        <v>1.1427085E-2</v>
      </c>
      <c r="O23">
        <v>9.1266839999999995E-3</v>
      </c>
      <c r="P23">
        <v>6.0017439999999998E-3</v>
      </c>
      <c r="Q23">
        <v>9.6217430000000003E-3</v>
      </c>
      <c r="R23">
        <v>1.1154347E-2</v>
      </c>
      <c r="S23">
        <v>1.0049776E-2</v>
      </c>
      <c r="T23">
        <v>5.2318410000000001E-3</v>
      </c>
      <c r="U23">
        <v>6.6009149999999997E-3</v>
      </c>
      <c r="V23">
        <v>7.3440959999999996E-3</v>
      </c>
      <c r="W23">
        <v>8.7441475000000005E-3</v>
      </c>
      <c r="X23">
        <v>0.12170667340000001</v>
      </c>
    </row>
    <row r="24" spans="1:24" x14ac:dyDescent="0.2">
      <c r="A24" s="2" t="s">
        <v>88</v>
      </c>
      <c r="B24" t="s">
        <v>38</v>
      </c>
      <c r="C24">
        <v>0.13019344999999999</v>
      </c>
      <c r="D24">
        <v>0.137105158</v>
      </c>
      <c r="E24">
        <v>0.120012378</v>
      </c>
      <c r="F24">
        <v>0.119842611</v>
      </c>
      <c r="G24">
        <v>0.13921979200000001</v>
      </c>
      <c r="H24">
        <v>0.129576789</v>
      </c>
      <c r="I24">
        <v>0.13061969300000001</v>
      </c>
      <c r="J24">
        <v>0.12695740799999999</v>
      </c>
      <c r="K24">
        <v>0.115522758</v>
      </c>
      <c r="L24">
        <v>0.133432415</v>
      </c>
      <c r="M24">
        <v>1.3694136000000001E-2</v>
      </c>
      <c r="N24">
        <v>9.8166169999999997E-3</v>
      </c>
      <c r="O24">
        <v>8.3379409999999998E-3</v>
      </c>
      <c r="P24">
        <v>9.2873290000000004E-3</v>
      </c>
      <c r="Q24">
        <v>9.55108E-3</v>
      </c>
      <c r="R24">
        <v>1.0230048E-2</v>
      </c>
      <c r="S24">
        <v>8.1753009999999994E-3</v>
      </c>
      <c r="T24">
        <v>6.712422E-3</v>
      </c>
      <c r="U24">
        <v>6.7175550000000001E-3</v>
      </c>
      <c r="V24">
        <v>6.3812419999999996E-3</v>
      </c>
      <c r="W24">
        <v>8.890367100000001E-3</v>
      </c>
      <c r="X24">
        <v>0.1282482452</v>
      </c>
    </row>
    <row r="25" spans="1:24" x14ac:dyDescent="0.2">
      <c r="A25" s="2" t="s">
        <v>89</v>
      </c>
      <c r="B25" t="s">
        <v>63</v>
      </c>
      <c r="C25">
        <v>7.7244776000000001E-2</v>
      </c>
      <c r="D25">
        <v>8.0331711E-2</v>
      </c>
      <c r="E25">
        <v>7.6118498000000007E-2</v>
      </c>
      <c r="F25">
        <v>7.3909854999999997E-2</v>
      </c>
      <c r="G25">
        <v>8.4132705000000002E-2</v>
      </c>
      <c r="H25">
        <v>8.1654102000000006E-2</v>
      </c>
      <c r="I25">
        <v>7.2451907999999995E-2</v>
      </c>
      <c r="J25">
        <v>7.8539443E-2</v>
      </c>
      <c r="K25">
        <v>7.5462407999999995E-2</v>
      </c>
      <c r="L25">
        <v>7.7396619999999999E-2</v>
      </c>
      <c r="M25">
        <v>1.5349379999999999E-2</v>
      </c>
      <c r="N25">
        <v>1.2508775999999999E-2</v>
      </c>
      <c r="O25">
        <v>9.4882920000000006E-3</v>
      </c>
      <c r="P25">
        <v>1.160603E-2</v>
      </c>
      <c r="Q25">
        <v>9.1804090000000005E-3</v>
      </c>
      <c r="R25">
        <v>9.6431020000000006E-3</v>
      </c>
      <c r="S25">
        <v>7.9962179999999994E-3</v>
      </c>
      <c r="T25">
        <v>6.2810360000000003E-3</v>
      </c>
      <c r="U25">
        <v>8.5327240000000002E-3</v>
      </c>
      <c r="V25">
        <v>7.543241E-3</v>
      </c>
      <c r="W25">
        <v>9.8129208000000013E-3</v>
      </c>
      <c r="X25">
        <v>7.7724202600000014E-2</v>
      </c>
    </row>
    <row r="26" spans="1:24" x14ac:dyDescent="0.2">
      <c r="A26" s="2" t="s">
        <v>90</v>
      </c>
      <c r="B26" t="s">
        <v>39</v>
      </c>
      <c r="C26">
        <v>0.111964286</v>
      </c>
      <c r="D26">
        <v>0.120109295</v>
      </c>
      <c r="E26">
        <v>0.114216552</v>
      </c>
      <c r="F26">
        <v>0.120209944</v>
      </c>
      <c r="G26">
        <v>0.12415097</v>
      </c>
      <c r="H26">
        <v>0.11973376600000001</v>
      </c>
      <c r="I26">
        <v>0.111555855</v>
      </c>
      <c r="J26">
        <v>0.12540684999999999</v>
      </c>
      <c r="K26">
        <v>0.11380562</v>
      </c>
      <c r="L26">
        <v>0.115526622</v>
      </c>
      <c r="M26">
        <v>8.8410309999999992E-3</v>
      </c>
      <c r="N26">
        <v>8.8403900000000001E-3</v>
      </c>
      <c r="O26">
        <v>7.9101080000000008E-3</v>
      </c>
      <c r="P26">
        <v>9.7288080000000002E-3</v>
      </c>
      <c r="Q26">
        <v>8.4771069999999994E-3</v>
      </c>
      <c r="R26">
        <v>7.8510339999999998E-3</v>
      </c>
      <c r="S26">
        <v>7.7283600000000001E-3</v>
      </c>
      <c r="T26">
        <v>6.1841250000000004E-3</v>
      </c>
      <c r="U26">
        <v>5.7466050000000001E-3</v>
      </c>
      <c r="V26">
        <v>7.647376E-3</v>
      </c>
      <c r="W26">
        <v>7.8954943999999996E-3</v>
      </c>
      <c r="X26">
        <v>0.11766797599999998</v>
      </c>
    </row>
    <row r="27" spans="1:24" x14ac:dyDescent="0.2">
      <c r="A27" s="2" t="s">
        <v>91</v>
      </c>
      <c r="B27" t="s">
        <v>40</v>
      </c>
      <c r="C27">
        <v>0.113861578</v>
      </c>
      <c r="D27">
        <v>0.119384852</v>
      </c>
      <c r="E27">
        <v>0.113537552</v>
      </c>
      <c r="F27">
        <v>0.117805141</v>
      </c>
      <c r="G27">
        <v>0.114798805</v>
      </c>
      <c r="H27">
        <v>0.118495516</v>
      </c>
      <c r="I27">
        <v>0.113892169</v>
      </c>
      <c r="J27">
        <v>0.11622352800000001</v>
      </c>
      <c r="K27">
        <v>0.111809415</v>
      </c>
      <c r="L27">
        <v>0.11715413099999999</v>
      </c>
      <c r="M27">
        <v>8.9564039999999994E-3</v>
      </c>
      <c r="N27">
        <v>9.846835E-3</v>
      </c>
      <c r="O27">
        <v>8.35872E-3</v>
      </c>
      <c r="P27">
        <v>9.6479470000000005E-3</v>
      </c>
      <c r="Q27">
        <v>9.1426730000000005E-3</v>
      </c>
      <c r="R27">
        <v>9.7138399999999996E-3</v>
      </c>
      <c r="S27">
        <v>7.8975929999999996E-3</v>
      </c>
      <c r="T27">
        <v>6.5863780000000004E-3</v>
      </c>
      <c r="U27">
        <v>7.8701080000000007E-3</v>
      </c>
      <c r="V27">
        <v>8.1370330000000001E-3</v>
      </c>
      <c r="W27">
        <v>8.6157531000000016E-3</v>
      </c>
      <c r="X27">
        <v>0.11569626870000001</v>
      </c>
    </row>
    <row r="28" spans="1:24" x14ac:dyDescent="0.2">
      <c r="A28" s="2" t="s">
        <v>92</v>
      </c>
      <c r="B28" t="s">
        <v>41</v>
      </c>
      <c r="C28">
        <v>0.118525112</v>
      </c>
      <c r="D28">
        <v>0.12439486299999999</v>
      </c>
      <c r="E28">
        <v>0.12347974</v>
      </c>
      <c r="F28">
        <v>0.11888008799999999</v>
      </c>
      <c r="G28">
        <v>0.124707792</v>
      </c>
      <c r="H28">
        <v>0.121727266</v>
      </c>
      <c r="I28">
        <v>0.114179223</v>
      </c>
      <c r="J28">
        <v>0.123506913</v>
      </c>
      <c r="K28">
        <v>0.13295926299999999</v>
      </c>
      <c r="L28">
        <v>0.13650984399999999</v>
      </c>
      <c r="M28">
        <v>8.6195720000000007E-3</v>
      </c>
      <c r="N28">
        <v>9.4579699999999996E-3</v>
      </c>
      <c r="O28">
        <v>8.0951570000000004E-3</v>
      </c>
      <c r="P28">
        <v>1.0876683999999999E-2</v>
      </c>
      <c r="Q28">
        <v>1.0957944000000001E-2</v>
      </c>
      <c r="R28">
        <v>8.1748340000000006E-3</v>
      </c>
      <c r="S28">
        <v>8.835252E-3</v>
      </c>
      <c r="T28">
        <v>1.0510076E-2</v>
      </c>
      <c r="U28">
        <v>8.2386620000000008E-3</v>
      </c>
      <c r="V28">
        <v>8.3780529999999999E-3</v>
      </c>
      <c r="W28">
        <v>9.2144204000000011E-3</v>
      </c>
      <c r="X28">
        <v>0.12388701040000001</v>
      </c>
    </row>
    <row r="29" spans="1:24" x14ac:dyDescent="0.2">
      <c r="A29" s="2" t="s">
        <v>93</v>
      </c>
      <c r="B29" t="s">
        <v>42</v>
      </c>
      <c r="C29">
        <v>0.138720391</v>
      </c>
      <c r="D29">
        <v>0.134962534</v>
      </c>
      <c r="E29">
        <v>0.13324968100000001</v>
      </c>
      <c r="F29">
        <v>0.128616657</v>
      </c>
      <c r="G29">
        <v>0.133893979</v>
      </c>
      <c r="H29">
        <v>0.13109627300000001</v>
      </c>
      <c r="I29">
        <v>0.12899744799999999</v>
      </c>
      <c r="J29">
        <v>0.13241017499999999</v>
      </c>
      <c r="K29">
        <v>0.13133428</v>
      </c>
      <c r="L29">
        <v>0.137734671</v>
      </c>
      <c r="M29">
        <v>1.1762056999999999E-2</v>
      </c>
      <c r="N29">
        <v>1.2457190999999999E-2</v>
      </c>
      <c r="O29">
        <v>8.2425229999999999E-3</v>
      </c>
      <c r="P29">
        <v>1.0274353999999999E-2</v>
      </c>
      <c r="Q29">
        <v>9.1829070000000006E-3</v>
      </c>
      <c r="R29">
        <v>1.5592897E-2</v>
      </c>
      <c r="S29">
        <v>1.6304321E-2</v>
      </c>
      <c r="T29">
        <v>9.7115980000000001E-3</v>
      </c>
      <c r="U29">
        <v>1.2775518E-2</v>
      </c>
      <c r="V29">
        <v>1.4613845E-2</v>
      </c>
      <c r="W29">
        <v>1.2091721099999999E-2</v>
      </c>
      <c r="X29">
        <v>0.1331016089</v>
      </c>
    </row>
    <row r="30" spans="1:24" x14ac:dyDescent="0.2">
      <c r="A30" s="2" t="s">
        <v>94</v>
      </c>
      <c r="B30" t="s">
        <v>43</v>
      </c>
      <c r="C30">
        <v>7.3804912E-2</v>
      </c>
      <c r="D30">
        <v>7.4526233999999997E-2</v>
      </c>
      <c r="E30">
        <v>7.1641608999999995E-2</v>
      </c>
      <c r="F30">
        <v>7.5840055000000003E-2</v>
      </c>
      <c r="G30">
        <v>7.6875563999999993E-2</v>
      </c>
      <c r="H30">
        <v>7.6514542000000005E-2</v>
      </c>
      <c r="I30">
        <v>7.1261289000000005E-2</v>
      </c>
      <c r="J30">
        <v>7.48423E-2</v>
      </c>
      <c r="K30">
        <v>7.0747027000000004E-2</v>
      </c>
      <c r="L30">
        <v>7.7131427000000002E-2</v>
      </c>
      <c r="M30">
        <v>1.608002E-2</v>
      </c>
      <c r="N30">
        <v>1.4893823E-2</v>
      </c>
      <c r="O30">
        <v>1.3679373E-2</v>
      </c>
      <c r="P30">
        <v>1.4431291000000001E-2</v>
      </c>
      <c r="Q30">
        <v>1.4445088999999999E-2</v>
      </c>
      <c r="R30">
        <v>1.0340942000000001E-2</v>
      </c>
      <c r="S30">
        <v>1.2304524000000001E-2</v>
      </c>
      <c r="T30">
        <v>1.1160744E-2</v>
      </c>
      <c r="U30">
        <v>1.0614953E-2</v>
      </c>
      <c r="V30">
        <v>9.9356440000000004E-3</v>
      </c>
      <c r="W30">
        <v>1.2788640300000001E-2</v>
      </c>
      <c r="X30">
        <v>7.4318495900000003E-2</v>
      </c>
    </row>
    <row r="31" spans="1:24" x14ac:dyDescent="0.2">
      <c r="A31" s="2" t="s">
        <v>95</v>
      </c>
      <c r="B31" t="s">
        <v>44</v>
      </c>
      <c r="C31">
        <v>8.2206716999999999E-2</v>
      </c>
      <c r="D31">
        <v>8.2635153000000003E-2</v>
      </c>
      <c r="E31">
        <v>7.9682117999999996E-2</v>
      </c>
      <c r="F31">
        <v>7.9829531999999995E-2</v>
      </c>
      <c r="G31">
        <v>8.3804723999999997E-2</v>
      </c>
      <c r="H31">
        <v>8.1377020999999994E-2</v>
      </c>
      <c r="I31">
        <v>8.0504436999999998E-2</v>
      </c>
      <c r="J31">
        <v>8.1185008000000003E-2</v>
      </c>
      <c r="K31">
        <v>8.1065495000000001E-2</v>
      </c>
      <c r="L31">
        <v>8.1708636000000001E-2</v>
      </c>
      <c r="M31">
        <v>1.3857104E-2</v>
      </c>
      <c r="N31">
        <v>1.1966459E-2</v>
      </c>
      <c r="O31">
        <v>1.1805283E-2</v>
      </c>
      <c r="P31">
        <v>1.3442959000000001E-2</v>
      </c>
      <c r="Q31">
        <v>1.3268182E-2</v>
      </c>
      <c r="R31">
        <v>1.2366969E-2</v>
      </c>
      <c r="S31">
        <v>2.3402566E-2</v>
      </c>
      <c r="T31">
        <v>3.1714616000000001E-2</v>
      </c>
      <c r="U31">
        <v>1.8597948999999999E-2</v>
      </c>
      <c r="V31">
        <v>9.7126859999999999E-3</v>
      </c>
      <c r="W31">
        <v>1.6013477300000002E-2</v>
      </c>
      <c r="X31">
        <v>8.13998841E-2</v>
      </c>
    </row>
    <row r="32" spans="1:24" x14ac:dyDescent="0.2">
      <c r="A32" s="2" t="s">
        <v>96</v>
      </c>
      <c r="B32" t="s">
        <v>64</v>
      </c>
      <c r="C32">
        <v>7.0540343000000005E-2</v>
      </c>
      <c r="D32">
        <v>7.2202103000000004E-2</v>
      </c>
      <c r="E32">
        <v>6.7565177000000004E-2</v>
      </c>
      <c r="F32">
        <v>7.0800467000000006E-2</v>
      </c>
      <c r="G32">
        <v>7.091712E-2</v>
      </c>
      <c r="H32">
        <v>7.1179794000000005E-2</v>
      </c>
      <c r="I32">
        <v>6.6759747999999994E-2</v>
      </c>
      <c r="J32">
        <v>6.9521011999999993E-2</v>
      </c>
      <c r="K32">
        <v>7.0259051000000003E-2</v>
      </c>
      <c r="L32">
        <v>7.1720309999999995E-2</v>
      </c>
      <c r="M32">
        <v>1.1927869000000001E-2</v>
      </c>
      <c r="N32">
        <v>1.1325139E-2</v>
      </c>
      <c r="O32">
        <v>1.1291226E-2</v>
      </c>
      <c r="P32">
        <v>1.0599892E-2</v>
      </c>
      <c r="Q32">
        <v>1.1944923E-2</v>
      </c>
      <c r="R32">
        <v>1.0715049000000001E-2</v>
      </c>
      <c r="S32">
        <v>9.7363280000000007E-3</v>
      </c>
      <c r="T32">
        <v>7.3725689999999998E-3</v>
      </c>
      <c r="U32">
        <v>7.9762710000000001E-3</v>
      </c>
      <c r="V32">
        <v>7.8162179999999998E-3</v>
      </c>
      <c r="W32">
        <v>1.00705484E-2</v>
      </c>
      <c r="X32">
        <v>7.0146512500000008E-2</v>
      </c>
    </row>
    <row r="33" spans="1:24" x14ac:dyDescent="0.2">
      <c r="A33" s="2" t="s">
        <v>97</v>
      </c>
      <c r="B33" t="s">
        <v>45</v>
      </c>
      <c r="C33">
        <v>8.6927134000000003E-2</v>
      </c>
      <c r="D33">
        <v>8.7313377999999997E-2</v>
      </c>
      <c r="E33">
        <v>8.0407991999999998E-2</v>
      </c>
      <c r="F33">
        <v>8.1368082999999994E-2</v>
      </c>
      <c r="G33">
        <v>8.3978002999999996E-2</v>
      </c>
      <c r="H33">
        <v>8.8385980000000003E-2</v>
      </c>
      <c r="I33">
        <v>8.3058435E-2</v>
      </c>
      <c r="J33">
        <v>8.4691083E-2</v>
      </c>
      <c r="K33">
        <v>8.6108946000000006E-2</v>
      </c>
      <c r="L33">
        <v>8.2337148999999998E-2</v>
      </c>
      <c r="M33">
        <v>1.6749681999999998E-2</v>
      </c>
      <c r="N33">
        <v>1.5142947E-2</v>
      </c>
      <c r="O33">
        <v>1.4571476999999999E-2</v>
      </c>
      <c r="P33">
        <v>1.5581885E-2</v>
      </c>
      <c r="Q33">
        <v>1.2390043E-2</v>
      </c>
      <c r="R33">
        <v>8.6072149999999997E-3</v>
      </c>
      <c r="S33">
        <v>2.7452753E-2</v>
      </c>
      <c r="T33">
        <v>2.3216200999999999E-2</v>
      </c>
      <c r="U33">
        <v>1.1060324999999999E-2</v>
      </c>
      <c r="V33">
        <v>1.0540643000000001E-2</v>
      </c>
      <c r="W33">
        <v>1.5531317100000001E-2</v>
      </c>
      <c r="X33">
        <v>8.4457618299999981E-2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A9D9-BA6C-8843-BD78-E00D0AB49030}">
  <dimension ref="A1:N72"/>
  <sheetViews>
    <sheetView workbookViewId="0">
      <selection activeCell="F88" sqref="F88"/>
    </sheetView>
  </sheetViews>
  <sheetFormatPr baseColWidth="10" defaultRowHeight="16" x14ac:dyDescent="0.2"/>
  <cols>
    <col min="1" max="1" width="16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46</v>
      </c>
      <c r="N1" t="s">
        <v>47</v>
      </c>
    </row>
    <row r="2" spans="1:14" x14ac:dyDescent="0.2">
      <c r="A2" t="s">
        <v>21</v>
      </c>
      <c r="B2">
        <v>0.12686599700000001</v>
      </c>
      <c r="C2">
        <v>0.11329871</v>
      </c>
      <c r="D2">
        <v>0.119387112</v>
      </c>
      <c r="E2">
        <v>0.113872289</v>
      </c>
      <c r="F2">
        <v>0.11016904600000001</v>
      </c>
      <c r="G2">
        <v>0.112406857</v>
      </c>
      <c r="H2">
        <v>0.116160931</v>
      </c>
      <c r="I2">
        <v>0.118659606</v>
      </c>
      <c r="J2">
        <v>0.116151693</v>
      </c>
      <c r="K2">
        <v>0.116647812</v>
      </c>
      <c r="N2">
        <f t="shared" ref="N2:N33" si="0">(K2/B2)*100-100</f>
        <v>-8.0543134028261392</v>
      </c>
    </row>
    <row r="3" spans="1:14" x14ac:dyDescent="0.2">
      <c r="A3" t="s">
        <v>22</v>
      </c>
      <c r="B3">
        <v>0.19807887099999999</v>
      </c>
      <c r="C3">
        <v>0.18391959299999999</v>
      </c>
      <c r="D3">
        <v>0.21362165599999999</v>
      </c>
      <c r="E3">
        <v>0.18880855299999999</v>
      </c>
      <c r="F3">
        <v>0.20209173799999999</v>
      </c>
      <c r="G3">
        <v>0.20359753999999999</v>
      </c>
      <c r="H3">
        <v>0.19046586800000001</v>
      </c>
      <c r="I3">
        <v>0.20703421999999999</v>
      </c>
      <c r="J3">
        <v>0.18720890200000001</v>
      </c>
      <c r="K3">
        <v>0.205880493</v>
      </c>
      <c r="N3">
        <f t="shared" si="0"/>
        <v>3.9386442181407659</v>
      </c>
    </row>
    <row r="4" spans="1:14" x14ac:dyDescent="0.2">
      <c r="A4" t="s">
        <v>23</v>
      </c>
      <c r="B4">
        <v>0.133805166</v>
      </c>
      <c r="C4">
        <v>0.13935365199999999</v>
      </c>
      <c r="D4">
        <v>0.146812055</v>
      </c>
      <c r="E4">
        <v>0.11475700799999999</v>
      </c>
      <c r="F4">
        <v>0.12294308900000001</v>
      </c>
      <c r="G4">
        <v>0.14819926899999999</v>
      </c>
      <c r="H4">
        <v>0.119317116</v>
      </c>
      <c r="I4">
        <v>0.13336077700000001</v>
      </c>
      <c r="J4">
        <v>0.131736612</v>
      </c>
      <c r="K4">
        <v>0.114000111</v>
      </c>
      <c r="N4">
        <f t="shared" si="0"/>
        <v>-14.801412824374808</v>
      </c>
    </row>
    <row r="5" spans="1:14" x14ac:dyDescent="0.2">
      <c r="A5" t="s">
        <v>24</v>
      </c>
      <c r="B5">
        <v>0.18877809400000001</v>
      </c>
      <c r="C5">
        <v>0.18633317599999999</v>
      </c>
      <c r="D5">
        <v>0.19447667599999999</v>
      </c>
      <c r="E5">
        <v>0.181079715</v>
      </c>
      <c r="F5">
        <v>0.16456364800000001</v>
      </c>
      <c r="G5">
        <v>0.174267539</v>
      </c>
      <c r="H5">
        <v>0.17364749700000001</v>
      </c>
      <c r="I5">
        <v>0.159379727</v>
      </c>
      <c r="J5">
        <v>0.16643401399999999</v>
      </c>
      <c r="K5">
        <v>0.15321097</v>
      </c>
      <c r="N5">
        <f t="shared" si="0"/>
        <v>-18.840705108506924</v>
      </c>
    </row>
    <row r="6" spans="1:14" x14ac:dyDescent="0.2">
      <c r="A6" t="s">
        <v>25</v>
      </c>
      <c r="B6">
        <v>8.1406939999999997E-2</v>
      </c>
      <c r="C6">
        <v>8.1270550999999996E-2</v>
      </c>
      <c r="D6">
        <v>8.2097435999999996E-2</v>
      </c>
      <c r="E6">
        <v>7.8326935E-2</v>
      </c>
      <c r="F6">
        <v>7.6024667000000004E-2</v>
      </c>
      <c r="G6">
        <v>7.8221587999999995E-2</v>
      </c>
      <c r="H6">
        <v>7.9279934999999996E-2</v>
      </c>
      <c r="I6">
        <v>8.2834783999999995E-2</v>
      </c>
      <c r="J6">
        <v>7.8871501999999996E-2</v>
      </c>
      <c r="K6">
        <v>7.8294190999999999E-2</v>
      </c>
      <c r="N6">
        <f t="shared" si="0"/>
        <v>-3.8236899704128291</v>
      </c>
    </row>
    <row r="7" spans="1:14" x14ac:dyDescent="0.2">
      <c r="A7" t="s">
        <v>26</v>
      </c>
      <c r="B7">
        <v>9.7768499999999994E-2</v>
      </c>
      <c r="C7">
        <v>9.1945431999999994E-2</v>
      </c>
      <c r="D7">
        <v>9.3880271000000001E-2</v>
      </c>
      <c r="E7">
        <v>8.9037656000000007E-2</v>
      </c>
      <c r="F7">
        <v>9.3417641999999995E-2</v>
      </c>
      <c r="G7">
        <v>9.4900752000000005E-2</v>
      </c>
      <c r="H7">
        <v>9.3417170999999993E-2</v>
      </c>
      <c r="I7">
        <v>9.3396379000000002E-2</v>
      </c>
      <c r="J7">
        <v>9.0471444999999998E-2</v>
      </c>
      <c r="K7">
        <v>9.7430010999999997E-2</v>
      </c>
      <c r="N7">
        <f t="shared" si="0"/>
        <v>-0.34621478287995444</v>
      </c>
    </row>
    <row r="8" spans="1:14" x14ac:dyDescent="0.2">
      <c r="A8" t="s">
        <v>49</v>
      </c>
      <c r="B8">
        <v>0.14054030000000001</v>
      </c>
      <c r="C8">
        <v>0.15394845099999999</v>
      </c>
      <c r="D8">
        <v>0.158278435</v>
      </c>
      <c r="E8">
        <v>0.14809835399999999</v>
      </c>
      <c r="F8">
        <v>0.15631367099999999</v>
      </c>
      <c r="G8">
        <v>0.154700698</v>
      </c>
      <c r="H8">
        <v>0.132079575</v>
      </c>
      <c r="I8">
        <v>0.14183801200000001</v>
      </c>
      <c r="J8">
        <v>0.16857847000000001</v>
      </c>
      <c r="K8">
        <v>0.15763407700000001</v>
      </c>
      <c r="N8">
        <f t="shared" si="0"/>
        <v>12.162900605733725</v>
      </c>
    </row>
    <row r="9" spans="1:14" x14ac:dyDescent="0.2">
      <c r="A9" t="s">
        <v>27</v>
      </c>
      <c r="B9">
        <v>0.141193914</v>
      </c>
      <c r="C9">
        <v>0.137588925</v>
      </c>
      <c r="D9">
        <v>0.13040907900000001</v>
      </c>
      <c r="E9">
        <v>0.13937959999999999</v>
      </c>
      <c r="F9">
        <v>0.14059163499999999</v>
      </c>
      <c r="G9">
        <v>0.13936278399999999</v>
      </c>
      <c r="H9">
        <v>0.13760234499999999</v>
      </c>
      <c r="I9">
        <v>0.14403101300000001</v>
      </c>
      <c r="J9">
        <v>0.136220601</v>
      </c>
      <c r="K9">
        <v>0.13563630300000001</v>
      </c>
      <c r="N9">
        <f t="shared" si="0"/>
        <v>-3.9361547835553239</v>
      </c>
    </row>
    <row r="10" spans="1:14" x14ac:dyDescent="0.2">
      <c r="A10" t="s">
        <v>28</v>
      </c>
      <c r="B10">
        <v>0.12931182699999999</v>
      </c>
      <c r="C10">
        <v>0.13301764699999999</v>
      </c>
      <c r="D10">
        <v>0.13065146</v>
      </c>
      <c r="E10">
        <v>0.140353229</v>
      </c>
      <c r="F10">
        <v>0.131738299</v>
      </c>
      <c r="G10">
        <v>0.13898439800000001</v>
      </c>
      <c r="H10">
        <v>0.12377946500000001</v>
      </c>
      <c r="I10">
        <v>0.13386388499999999</v>
      </c>
      <c r="J10">
        <v>0.124118756</v>
      </c>
      <c r="K10">
        <v>0.142438708</v>
      </c>
      <c r="N10">
        <f t="shared" si="0"/>
        <v>10.151338284007068</v>
      </c>
    </row>
    <row r="11" spans="1:14" x14ac:dyDescent="0.2">
      <c r="A11" t="s">
        <v>29</v>
      </c>
      <c r="B11">
        <v>9.8894503999999994E-2</v>
      </c>
      <c r="C11">
        <v>9.3469747000000006E-2</v>
      </c>
      <c r="D11">
        <v>9.0643462999999994E-2</v>
      </c>
      <c r="E11">
        <v>9.0914043999999999E-2</v>
      </c>
      <c r="F11">
        <v>9.6258134999999995E-2</v>
      </c>
      <c r="G11">
        <v>9.6889343000000003E-2</v>
      </c>
      <c r="H11">
        <v>9.0785632000000005E-2</v>
      </c>
      <c r="I11">
        <v>8.8317577999999994E-2</v>
      </c>
      <c r="J11">
        <v>8.9054816999999994E-2</v>
      </c>
      <c r="K11">
        <v>9.4786899999999993E-2</v>
      </c>
      <c r="N11">
        <f t="shared" si="0"/>
        <v>-4.1535210086093457</v>
      </c>
    </row>
    <row r="12" spans="1:14" x14ac:dyDescent="0.2">
      <c r="A12" t="s">
        <v>30</v>
      </c>
      <c r="B12">
        <v>0.10776435500000001</v>
      </c>
      <c r="C12">
        <v>0.10654269299999999</v>
      </c>
      <c r="D12">
        <v>0.10580838400000001</v>
      </c>
      <c r="E12">
        <v>0.11117196</v>
      </c>
      <c r="F12">
        <v>0.110221924</v>
      </c>
      <c r="G12">
        <v>0.10572342</v>
      </c>
      <c r="H12">
        <v>0.103728559</v>
      </c>
      <c r="I12">
        <v>0.105706283</v>
      </c>
      <c r="J12">
        <v>0.103806967</v>
      </c>
      <c r="K12">
        <v>0.107816963</v>
      </c>
      <c r="N12">
        <f t="shared" si="0"/>
        <v>4.8817626199308961E-2</v>
      </c>
    </row>
    <row r="13" spans="1:14" x14ac:dyDescent="0.2">
      <c r="A13" t="s">
        <v>31</v>
      </c>
      <c r="B13">
        <v>7.9034071999999997E-2</v>
      </c>
      <c r="C13">
        <v>8.0435057000000004E-2</v>
      </c>
      <c r="D13">
        <v>7.7832164999999995E-2</v>
      </c>
      <c r="E13">
        <v>7.7746423999999995E-2</v>
      </c>
      <c r="F13">
        <v>8.0480024999999997E-2</v>
      </c>
      <c r="G13">
        <v>7.8684538999999998E-2</v>
      </c>
      <c r="H13">
        <v>7.3921047000000004E-2</v>
      </c>
      <c r="I13">
        <v>7.7260743000000007E-2</v>
      </c>
      <c r="J13">
        <v>7.4693421999999995E-2</v>
      </c>
      <c r="K13">
        <v>7.7101618999999996E-2</v>
      </c>
      <c r="N13">
        <f t="shared" si="0"/>
        <v>-2.4450884929729995</v>
      </c>
    </row>
    <row r="14" spans="1:14" x14ac:dyDescent="0.2">
      <c r="A14" t="s">
        <v>32</v>
      </c>
      <c r="B14">
        <v>7.4466492999999995E-2</v>
      </c>
      <c r="C14">
        <v>7.1699732000000002E-2</v>
      </c>
      <c r="D14">
        <v>6.9322831000000001E-2</v>
      </c>
      <c r="E14">
        <v>7.3121040999999998E-2</v>
      </c>
      <c r="F14">
        <v>7.5211265999999999E-2</v>
      </c>
      <c r="G14">
        <v>7.2477430999999995E-2</v>
      </c>
      <c r="H14">
        <v>7.1067617E-2</v>
      </c>
      <c r="I14">
        <v>7.4620496999999994E-2</v>
      </c>
      <c r="J14">
        <v>7.2456188000000005E-2</v>
      </c>
      <c r="K14">
        <v>7.2587874999999996E-2</v>
      </c>
      <c r="N14">
        <f t="shared" si="0"/>
        <v>-2.5227695360918858</v>
      </c>
    </row>
    <row r="15" spans="1:14" x14ac:dyDescent="0.2">
      <c r="A15" t="s">
        <v>33</v>
      </c>
      <c r="B15">
        <v>8.5167904000000003E-2</v>
      </c>
      <c r="C15">
        <v>8.4093360000000006E-2</v>
      </c>
      <c r="D15">
        <v>8.2193843000000003E-2</v>
      </c>
      <c r="E15">
        <v>8.2352135000000007E-2</v>
      </c>
      <c r="F15">
        <v>8.4127286999999995E-2</v>
      </c>
      <c r="G15">
        <v>8.2966605999999998E-2</v>
      </c>
      <c r="H15">
        <v>8.1132738999999995E-2</v>
      </c>
      <c r="I15">
        <v>8.5769588999999993E-2</v>
      </c>
      <c r="J15">
        <v>8.0811589000000003E-2</v>
      </c>
      <c r="K15">
        <v>8.5622089999999998E-2</v>
      </c>
      <c r="N15">
        <f t="shared" si="0"/>
        <v>0.53328305461172931</v>
      </c>
    </row>
    <row r="16" spans="1:14" x14ac:dyDescent="0.2">
      <c r="A16" t="s">
        <v>51</v>
      </c>
      <c r="B16">
        <v>9.2066920999999996E-2</v>
      </c>
      <c r="C16">
        <v>9.4524266999999995E-2</v>
      </c>
      <c r="D16">
        <v>9.4002402999999998E-2</v>
      </c>
      <c r="E16">
        <v>9.5363727999999995E-2</v>
      </c>
      <c r="F16">
        <v>9.5861940000000007E-2</v>
      </c>
      <c r="G16">
        <v>9.5949494999999996E-2</v>
      </c>
      <c r="H16">
        <v>9.4445588999999996E-2</v>
      </c>
      <c r="I16">
        <v>9.6500791000000002E-2</v>
      </c>
      <c r="J16">
        <v>9.3009656999999996E-2</v>
      </c>
      <c r="K16">
        <v>9.5167926999999999E-2</v>
      </c>
      <c r="N16">
        <f t="shared" si="0"/>
        <v>3.3682086533555378</v>
      </c>
    </row>
    <row r="17" spans="1:14" x14ac:dyDescent="0.2">
      <c r="A17" t="s">
        <v>50</v>
      </c>
      <c r="B17">
        <v>6.9095691000000001E-2</v>
      </c>
      <c r="C17">
        <v>6.8106951999999998E-2</v>
      </c>
      <c r="D17">
        <v>6.9275354999999997E-2</v>
      </c>
      <c r="E17">
        <v>6.7084815000000006E-2</v>
      </c>
      <c r="F17">
        <v>6.7979693999999993E-2</v>
      </c>
      <c r="G17">
        <v>6.6659236999999996E-2</v>
      </c>
      <c r="H17">
        <v>6.8158801000000005E-2</v>
      </c>
      <c r="I17">
        <v>6.9682632999999994E-2</v>
      </c>
      <c r="J17">
        <v>6.6529174999999996E-2</v>
      </c>
      <c r="K17">
        <v>6.8615582999999994E-2</v>
      </c>
      <c r="N17">
        <f t="shared" si="0"/>
        <v>-0.69484506638772814</v>
      </c>
    </row>
    <row r="18" spans="1:14" x14ac:dyDescent="0.2">
      <c r="A18" t="s">
        <v>34</v>
      </c>
      <c r="B18">
        <v>9.9581627000000006E-2</v>
      </c>
      <c r="C18">
        <v>0.100012982</v>
      </c>
      <c r="D18">
        <v>0.10222727500000001</v>
      </c>
      <c r="E18">
        <v>9.4882000999999994E-2</v>
      </c>
      <c r="F18">
        <v>9.5261720999999994E-2</v>
      </c>
      <c r="G18">
        <v>9.2978948000000006E-2</v>
      </c>
      <c r="H18">
        <v>9.2819398999999997E-2</v>
      </c>
      <c r="I18">
        <v>9.9460530000000005E-2</v>
      </c>
      <c r="J18">
        <v>8.8284915000000005E-2</v>
      </c>
      <c r="K18">
        <v>9.3471580999999998E-2</v>
      </c>
      <c r="N18">
        <f t="shared" si="0"/>
        <v>-6.1357161798531479</v>
      </c>
    </row>
    <row r="19" spans="1:14" x14ac:dyDescent="0.2">
      <c r="A19" t="s">
        <v>35</v>
      </c>
      <c r="B19">
        <v>0.100841546</v>
      </c>
      <c r="C19">
        <v>8.8294958000000007E-2</v>
      </c>
      <c r="D19">
        <v>8.1611890000000006E-2</v>
      </c>
      <c r="E19">
        <v>8.9273198999999998E-2</v>
      </c>
      <c r="F19">
        <v>8.4462354000000003E-2</v>
      </c>
      <c r="G19">
        <v>8.4010639999999998E-2</v>
      </c>
      <c r="H19">
        <v>7.8188855000000002E-2</v>
      </c>
      <c r="I19">
        <v>8.5334006000000004E-2</v>
      </c>
      <c r="J19">
        <v>8.0576338999999997E-2</v>
      </c>
      <c r="K19">
        <v>7.8647218000000005E-2</v>
      </c>
      <c r="N19">
        <f t="shared" si="0"/>
        <v>-22.009111205018613</v>
      </c>
    </row>
    <row r="20" spans="1:14" x14ac:dyDescent="0.2">
      <c r="A20" t="s">
        <v>52</v>
      </c>
      <c r="B20">
        <v>0.14435283199999999</v>
      </c>
      <c r="C20">
        <v>0.14034442599999999</v>
      </c>
      <c r="D20">
        <v>0.13987575299999999</v>
      </c>
      <c r="E20">
        <v>0.142057568</v>
      </c>
      <c r="F20">
        <v>0.144793801</v>
      </c>
      <c r="G20">
        <v>0.139314351</v>
      </c>
      <c r="H20">
        <v>0.139247238</v>
      </c>
      <c r="I20">
        <v>0.13716583399999999</v>
      </c>
      <c r="J20">
        <v>0.139675041</v>
      </c>
      <c r="K20">
        <v>0.143194453</v>
      </c>
      <c r="N20">
        <f t="shared" si="0"/>
        <v>-0.80246364685106641</v>
      </c>
    </row>
    <row r="21" spans="1:14" x14ac:dyDescent="0.2">
      <c r="A21" t="s">
        <v>36</v>
      </c>
      <c r="B21">
        <v>8.9215608000000002E-2</v>
      </c>
      <c r="C21">
        <v>9.0343381E-2</v>
      </c>
      <c r="D21">
        <v>8.7839623000000006E-2</v>
      </c>
      <c r="E21">
        <v>8.8205104000000006E-2</v>
      </c>
      <c r="F21">
        <v>8.6878172000000004E-2</v>
      </c>
      <c r="G21">
        <v>8.6137195E-2</v>
      </c>
      <c r="H21">
        <v>8.4314811000000003E-2</v>
      </c>
      <c r="I21">
        <v>8.6233246999999999E-2</v>
      </c>
      <c r="J21">
        <v>8.8169444999999999E-2</v>
      </c>
      <c r="K21">
        <v>8.9269243999999998E-2</v>
      </c>
      <c r="N21">
        <f t="shared" si="0"/>
        <v>6.0119525274089369E-2</v>
      </c>
    </row>
    <row r="22" spans="1:14" x14ac:dyDescent="0.2">
      <c r="A22" t="s">
        <v>37</v>
      </c>
      <c r="B22">
        <v>7.7310181000000006E-2</v>
      </c>
      <c r="C22">
        <v>7.8503040999999996E-2</v>
      </c>
      <c r="D22">
        <v>7.4769241E-2</v>
      </c>
      <c r="E22">
        <v>7.3886587000000004E-2</v>
      </c>
      <c r="F22">
        <v>7.8326661000000006E-2</v>
      </c>
      <c r="G22">
        <v>7.8564903000000005E-2</v>
      </c>
      <c r="H22">
        <v>7.4765973999999999E-2</v>
      </c>
      <c r="I22">
        <v>7.6595698000000004E-2</v>
      </c>
      <c r="J22">
        <v>7.4951636000000002E-2</v>
      </c>
      <c r="K22">
        <v>7.6406629000000004E-2</v>
      </c>
      <c r="N22">
        <f t="shared" si="0"/>
        <v>-1.168736107344003</v>
      </c>
    </row>
    <row r="23" spans="1:14" x14ac:dyDescent="0.2">
      <c r="A23" t="s">
        <v>53</v>
      </c>
      <c r="B23">
        <v>0.118678783</v>
      </c>
      <c r="C23">
        <v>0.131510762</v>
      </c>
      <c r="D23">
        <v>0.114911396</v>
      </c>
      <c r="E23">
        <v>0.116108685</v>
      </c>
      <c r="F23">
        <v>0.117609925</v>
      </c>
      <c r="G23">
        <v>0.13101187</v>
      </c>
      <c r="H23">
        <v>0.118851677</v>
      </c>
      <c r="I23">
        <v>0.12398743399999999</v>
      </c>
      <c r="J23">
        <v>0.126072609</v>
      </c>
      <c r="K23">
        <v>0.118323593</v>
      </c>
      <c r="N23">
        <f t="shared" si="0"/>
        <v>-0.29928685736521743</v>
      </c>
    </row>
    <row r="24" spans="1:14" x14ac:dyDescent="0.2">
      <c r="A24" t="s">
        <v>38</v>
      </c>
      <c r="B24">
        <v>0.13019344999999999</v>
      </c>
      <c r="C24">
        <v>0.137105158</v>
      </c>
      <c r="D24">
        <v>0.120012378</v>
      </c>
      <c r="E24">
        <v>0.119842611</v>
      </c>
      <c r="F24">
        <v>0.13921979200000001</v>
      </c>
      <c r="G24">
        <v>0.129576789</v>
      </c>
      <c r="H24">
        <v>0.13061969300000001</v>
      </c>
      <c r="I24">
        <v>0.12695740799999999</v>
      </c>
      <c r="J24">
        <v>0.115522758</v>
      </c>
      <c r="K24">
        <v>0.133432415</v>
      </c>
      <c r="N24">
        <f t="shared" si="0"/>
        <v>2.4878094865755713</v>
      </c>
    </row>
    <row r="25" spans="1:14" x14ac:dyDescent="0.2">
      <c r="A25" t="s">
        <v>54</v>
      </c>
      <c r="B25">
        <v>7.7244776000000001E-2</v>
      </c>
      <c r="C25">
        <v>8.0331711E-2</v>
      </c>
      <c r="D25">
        <v>7.6118498000000007E-2</v>
      </c>
      <c r="E25">
        <v>7.3909854999999997E-2</v>
      </c>
      <c r="F25">
        <v>8.4132705000000002E-2</v>
      </c>
      <c r="G25">
        <v>8.1654102000000006E-2</v>
      </c>
      <c r="H25">
        <v>7.2451907999999995E-2</v>
      </c>
      <c r="I25">
        <v>7.8539443E-2</v>
      </c>
      <c r="J25">
        <v>7.5462407999999995E-2</v>
      </c>
      <c r="K25">
        <v>7.7396619999999999E-2</v>
      </c>
      <c r="N25">
        <f t="shared" si="0"/>
        <v>0.19657510560972469</v>
      </c>
    </row>
    <row r="26" spans="1:14" x14ac:dyDescent="0.2">
      <c r="A26" t="s">
        <v>39</v>
      </c>
      <c r="B26">
        <v>0.111964286</v>
      </c>
      <c r="C26">
        <v>0.120109295</v>
      </c>
      <c r="D26">
        <v>0.114216552</v>
      </c>
      <c r="E26">
        <v>0.120209944</v>
      </c>
      <c r="F26">
        <v>0.12415097</v>
      </c>
      <c r="G26">
        <v>0.11973376600000001</v>
      </c>
      <c r="H26">
        <v>0.111555855</v>
      </c>
      <c r="I26">
        <v>0.12540684999999999</v>
      </c>
      <c r="J26">
        <v>0.11380562</v>
      </c>
      <c r="K26">
        <v>0.115526622</v>
      </c>
      <c r="N26">
        <f t="shared" si="0"/>
        <v>3.18167169841999</v>
      </c>
    </row>
    <row r="27" spans="1:14" x14ac:dyDescent="0.2">
      <c r="A27" t="s">
        <v>40</v>
      </c>
      <c r="B27">
        <v>0.113861578</v>
      </c>
      <c r="C27">
        <v>0.119384852</v>
      </c>
      <c r="D27">
        <v>0.113537552</v>
      </c>
      <c r="E27">
        <v>0.117805141</v>
      </c>
      <c r="F27">
        <v>0.114798805</v>
      </c>
      <c r="G27">
        <v>0.118495516</v>
      </c>
      <c r="H27">
        <v>0.113892169</v>
      </c>
      <c r="I27">
        <v>0.11622352800000001</v>
      </c>
      <c r="J27">
        <v>0.111809415</v>
      </c>
      <c r="K27">
        <v>0.11715413099999999</v>
      </c>
      <c r="N27">
        <f t="shared" si="0"/>
        <v>2.8917155882030698</v>
      </c>
    </row>
    <row r="28" spans="1:14" x14ac:dyDescent="0.2">
      <c r="A28" t="s">
        <v>41</v>
      </c>
      <c r="B28">
        <v>0.118525112</v>
      </c>
      <c r="C28">
        <v>0.12439486299999999</v>
      </c>
      <c r="D28">
        <v>0.12347974</v>
      </c>
      <c r="E28">
        <v>0.11888008799999999</v>
      </c>
      <c r="F28">
        <v>0.124707792</v>
      </c>
      <c r="G28">
        <v>0.121727266</v>
      </c>
      <c r="H28">
        <v>0.114179223</v>
      </c>
      <c r="I28">
        <v>0.123506913</v>
      </c>
      <c r="J28">
        <v>0.13295926299999999</v>
      </c>
      <c r="K28">
        <v>0.13650984399999999</v>
      </c>
      <c r="N28">
        <f t="shared" si="0"/>
        <v>15.173773470047422</v>
      </c>
    </row>
    <row r="29" spans="1:14" x14ac:dyDescent="0.2">
      <c r="A29" t="s">
        <v>42</v>
      </c>
      <c r="B29">
        <v>0.138720391</v>
      </c>
      <c r="C29">
        <v>0.134962534</v>
      </c>
      <c r="D29">
        <v>0.13324968100000001</v>
      </c>
      <c r="E29">
        <v>0.128616657</v>
      </c>
      <c r="F29">
        <v>0.133893979</v>
      </c>
      <c r="G29">
        <v>0.13109627300000001</v>
      </c>
      <c r="H29">
        <v>0.12899744799999999</v>
      </c>
      <c r="I29">
        <v>0.13241017499999999</v>
      </c>
      <c r="J29">
        <v>0.13133428</v>
      </c>
      <c r="K29">
        <v>0.137734671</v>
      </c>
      <c r="N29">
        <f t="shared" si="0"/>
        <v>-0.71058046541982378</v>
      </c>
    </row>
    <row r="30" spans="1:14" x14ac:dyDescent="0.2">
      <c r="A30" t="s">
        <v>43</v>
      </c>
      <c r="B30">
        <v>7.3804912E-2</v>
      </c>
      <c r="C30">
        <v>7.4526233999999997E-2</v>
      </c>
      <c r="D30">
        <v>7.1641608999999995E-2</v>
      </c>
      <c r="E30">
        <v>7.5840055000000003E-2</v>
      </c>
      <c r="F30">
        <v>7.6875563999999993E-2</v>
      </c>
      <c r="G30">
        <v>7.6514542000000005E-2</v>
      </c>
      <c r="H30">
        <v>7.1261289000000005E-2</v>
      </c>
      <c r="I30">
        <v>7.48423E-2</v>
      </c>
      <c r="J30">
        <v>7.0747027000000004E-2</v>
      </c>
      <c r="K30">
        <v>7.7131427000000002E-2</v>
      </c>
      <c r="N30">
        <f t="shared" si="0"/>
        <v>4.5071729101174185</v>
      </c>
    </row>
    <row r="31" spans="1:14" x14ac:dyDescent="0.2">
      <c r="A31" t="s">
        <v>44</v>
      </c>
      <c r="B31">
        <v>8.2206716999999999E-2</v>
      </c>
      <c r="C31">
        <v>8.2635153000000003E-2</v>
      </c>
      <c r="D31">
        <v>7.9682117999999996E-2</v>
      </c>
      <c r="E31">
        <v>7.9829531999999995E-2</v>
      </c>
      <c r="F31">
        <v>8.3804723999999997E-2</v>
      </c>
      <c r="G31">
        <v>8.1377020999999994E-2</v>
      </c>
      <c r="H31">
        <v>8.0504436999999998E-2</v>
      </c>
      <c r="I31">
        <v>8.1185008000000003E-2</v>
      </c>
      <c r="J31">
        <v>8.1065495000000001E-2</v>
      </c>
      <c r="K31">
        <v>8.1708636000000001E-2</v>
      </c>
      <c r="N31">
        <f t="shared" si="0"/>
        <v>-0.6058884458310132</v>
      </c>
    </row>
    <row r="32" spans="1:14" x14ac:dyDescent="0.2">
      <c r="A32" t="s">
        <v>55</v>
      </c>
      <c r="B32">
        <v>7.0540343000000005E-2</v>
      </c>
      <c r="C32">
        <v>7.2202103000000004E-2</v>
      </c>
      <c r="D32">
        <v>6.7565177000000004E-2</v>
      </c>
      <c r="E32">
        <v>7.0800467000000006E-2</v>
      </c>
      <c r="F32">
        <v>7.091712E-2</v>
      </c>
      <c r="G32">
        <v>7.1179794000000005E-2</v>
      </c>
      <c r="H32">
        <v>6.6759747999999994E-2</v>
      </c>
      <c r="I32">
        <v>6.9521011999999993E-2</v>
      </c>
      <c r="J32">
        <v>7.0259051000000003E-2</v>
      </c>
      <c r="K32">
        <v>7.1720309999999995E-2</v>
      </c>
      <c r="N32">
        <f t="shared" si="0"/>
        <v>1.6727548376111372</v>
      </c>
    </row>
    <row r="33" spans="1:14" x14ac:dyDescent="0.2">
      <c r="A33" t="s">
        <v>45</v>
      </c>
      <c r="B33">
        <v>8.6927134000000003E-2</v>
      </c>
      <c r="C33">
        <v>8.7313377999999997E-2</v>
      </c>
      <c r="D33">
        <v>8.0407991999999998E-2</v>
      </c>
      <c r="E33">
        <v>8.1368082999999994E-2</v>
      </c>
      <c r="F33">
        <v>8.3978002999999996E-2</v>
      </c>
      <c r="G33">
        <v>8.8385980000000003E-2</v>
      </c>
      <c r="H33">
        <v>8.3058435E-2</v>
      </c>
      <c r="I33">
        <v>8.4691083E-2</v>
      </c>
      <c r="J33">
        <v>8.6108946000000006E-2</v>
      </c>
      <c r="K33">
        <v>8.2337148999999998E-2</v>
      </c>
      <c r="N33">
        <f t="shared" si="0"/>
        <v>-5.2802672638442232</v>
      </c>
    </row>
    <row r="72" spans="5:14" x14ac:dyDescent="0.2">
      <c r="E72">
        <v>2014</v>
      </c>
      <c r="F72">
        <v>2015</v>
      </c>
      <c r="G72">
        <v>2016</v>
      </c>
      <c r="H72">
        <v>2017</v>
      </c>
      <c r="I72">
        <v>2018</v>
      </c>
      <c r="J72">
        <v>2019</v>
      </c>
      <c r="K72">
        <v>2020</v>
      </c>
      <c r="L72">
        <v>2021</v>
      </c>
      <c r="M72">
        <v>2022</v>
      </c>
      <c r="N72">
        <v>2023</v>
      </c>
    </row>
  </sheetData>
  <autoFilter ref="A1:N33" xr:uid="{4E9CA9D9-BA6C-8843-BD78-E00D0AB49030}">
    <sortState xmlns:xlrd2="http://schemas.microsoft.com/office/spreadsheetml/2017/richdata2" ref="A2:N33">
      <sortCondition ref="A1:A33"/>
    </sortState>
  </autoFilter>
  <conditionalFormatting sqref="N2:N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N16:N33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8C9DC5-D389-FB41-9379-2377368EC52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N2:N33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C883C1A-2DB6-CF43-A32A-3DA0C136D6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Product!B3:K3</xm:f>
              <xm:sqref>M3</xm:sqref>
            </x14:sparkline>
            <x14:sparkline>
              <xm:f>Product!B4:K4</xm:f>
              <xm:sqref>M4</xm:sqref>
            </x14:sparkline>
            <x14:sparkline>
              <xm:f>Product!B5:K5</xm:f>
              <xm:sqref>M5</xm:sqref>
            </x14:sparkline>
            <x14:sparkline>
              <xm:f>Product!B6:K6</xm:f>
              <xm:sqref>M6</xm:sqref>
            </x14:sparkline>
            <x14:sparkline>
              <xm:f>Product!B7:K7</xm:f>
              <xm:sqref>M7</xm:sqref>
            </x14:sparkline>
            <x14:sparkline>
              <xm:f>Product!B8:K8</xm:f>
              <xm:sqref>M8</xm:sqref>
            </x14:sparkline>
            <x14:sparkline>
              <xm:f>Product!B9:K9</xm:f>
              <xm:sqref>M9</xm:sqref>
            </x14:sparkline>
            <x14:sparkline>
              <xm:f>Product!B10:K10</xm:f>
              <xm:sqref>M10</xm:sqref>
            </x14:sparkline>
            <x14:sparkline>
              <xm:f>Product!B11:K11</xm:f>
              <xm:sqref>M11</xm:sqref>
            </x14:sparkline>
            <x14:sparkline>
              <xm:f>Product!B12:K12</xm:f>
              <xm:sqref>M12</xm:sqref>
            </x14:sparkline>
            <x14:sparkline>
              <xm:f>Product!B13:K13</xm:f>
              <xm:sqref>M13</xm:sqref>
            </x14:sparkline>
            <x14:sparkline>
              <xm:f>Product!B14:K14</xm:f>
              <xm:sqref>M14</xm:sqref>
            </x14:sparkline>
            <x14:sparkline>
              <xm:f>Product!B15:K15</xm:f>
              <xm:sqref>M15</xm:sqref>
            </x14:sparkline>
            <x14:sparkline>
              <xm:f>Product!B16:K16</xm:f>
              <xm:sqref>M16</xm:sqref>
            </x14:sparkline>
            <x14:sparkline>
              <xm:f>Product!B17:K17</xm:f>
              <xm:sqref>M17</xm:sqref>
            </x14:sparkline>
            <x14:sparkline>
              <xm:f>Product!B18:K18</xm:f>
              <xm:sqref>M18</xm:sqref>
            </x14:sparkline>
            <x14:sparkline>
              <xm:f>Product!B19:K19</xm:f>
              <xm:sqref>M19</xm:sqref>
            </x14:sparkline>
            <x14:sparkline>
              <xm:f>Product!B20:K20</xm:f>
              <xm:sqref>M20</xm:sqref>
            </x14:sparkline>
            <x14:sparkline>
              <xm:f>Product!B21:K21</xm:f>
              <xm:sqref>M21</xm:sqref>
            </x14:sparkline>
            <x14:sparkline>
              <xm:f>Product!B22:K22</xm:f>
              <xm:sqref>M22</xm:sqref>
            </x14:sparkline>
            <x14:sparkline>
              <xm:f>Product!B23:K23</xm:f>
              <xm:sqref>M23</xm:sqref>
            </x14:sparkline>
            <x14:sparkline>
              <xm:f>Product!B24:K24</xm:f>
              <xm:sqref>M24</xm:sqref>
            </x14:sparkline>
            <x14:sparkline>
              <xm:f>Product!B25:K25</xm:f>
              <xm:sqref>M25</xm:sqref>
            </x14:sparkline>
            <x14:sparkline>
              <xm:f>Product!B26:K26</xm:f>
              <xm:sqref>M26</xm:sqref>
            </x14:sparkline>
            <x14:sparkline>
              <xm:f>Product!B27:K27</xm:f>
              <xm:sqref>M27</xm:sqref>
            </x14:sparkline>
            <x14:sparkline>
              <xm:f>Product!B28:K28</xm:f>
              <xm:sqref>M28</xm:sqref>
            </x14:sparkline>
            <x14:sparkline>
              <xm:f>Product!B29:K29</xm:f>
              <xm:sqref>M29</xm:sqref>
            </x14:sparkline>
            <x14:sparkline>
              <xm:f>Product!B30:K30</xm:f>
              <xm:sqref>M30</xm:sqref>
            </x14:sparkline>
            <x14:sparkline>
              <xm:f>Product!B31:K31</xm:f>
              <xm:sqref>M31</xm:sqref>
            </x14:sparkline>
            <x14:sparkline>
              <xm:f>Product!B32:K32</xm:f>
              <xm:sqref>M32</xm:sqref>
            </x14:sparkline>
            <x14:sparkline>
              <xm:f>Product!B33:K33</xm:f>
              <xm:sqref>M33</xm:sqref>
            </x14:sparkline>
          </x14:sparklines>
        </x14:sparklineGroup>
        <x14:sparklineGroup displayEmptyCellsAs="gap" xr2:uid="{38987A66-E5BE-CC48-9ACD-9948793D0F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Product!B2:K2</xm:f>
              <xm:sqref>M2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CD9A-563E-D24F-AA69-5DEF53D7D801}">
  <dimension ref="A1:N106"/>
  <sheetViews>
    <sheetView zoomScale="83" workbookViewId="0">
      <selection activeCell="B2" sqref="B2:B33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M1" s="1" t="s">
        <v>48</v>
      </c>
      <c r="N1" s="1" t="s">
        <v>47</v>
      </c>
    </row>
    <row r="2" spans="1:14" x14ac:dyDescent="0.2">
      <c r="A2" s="1" t="s">
        <v>21</v>
      </c>
      <c r="B2" s="1">
        <v>8.7833900000000003E-3</v>
      </c>
      <c r="C2" s="1">
        <v>1.5994109999999999E-2</v>
      </c>
      <c r="D2" s="1">
        <v>9.8974300000000005E-3</v>
      </c>
      <c r="E2" s="1">
        <v>9.9226200000000001E-3</v>
      </c>
      <c r="F2" s="1">
        <v>1.209001E-2</v>
      </c>
      <c r="G2" s="1">
        <v>8.0652999999999992E-3</v>
      </c>
      <c r="H2" s="1">
        <v>9.8698599999999994E-3</v>
      </c>
      <c r="I2" s="1">
        <v>6.4626600000000003E-3</v>
      </c>
      <c r="J2" s="1">
        <v>9.0110499999999996E-3</v>
      </c>
      <c r="K2" s="1">
        <v>1.1552959999999999E-2</v>
      </c>
      <c r="N2">
        <f>(K2/B2)*100-100</f>
        <v>31.531902830228404</v>
      </c>
    </row>
    <row r="3" spans="1:14" x14ac:dyDescent="0.2">
      <c r="A3" s="1" t="s">
        <v>22</v>
      </c>
      <c r="B3" s="1">
        <v>3.6431800000000002E-3</v>
      </c>
      <c r="C3" s="1">
        <v>1.3193710000000001E-2</v>
      </c>
      <c r="D3" s="1">
        <v>8.8945199999999995E-3</v>
      </c>
      <c r="E3" s="1">
        <v>7.4839199999999998E-3</v>
      </c>
      <c r="F3" s="1">
        <v>4.3206099999999999E-3</v>
      </c>
      <c r="G3" s="1">
        <v>5.2513780000000003E-2</v>
      </c>
      <c r="H3" s="1">
        <v>6.2804890000000002E-2</v>
      </c>
      <c r="I3" s="1">
        <v>4.6978810000000003E-2</v>
      </c>
      <c r="J3" s="1">
        <v>1.8864909999999999E-2</v>
      </c>
      <c r="K3" s="1">
        <v>5.1826179999999999E-2</v>
      </c>
      <c r="N3">
        <f t="shared" ref="N3:N33" si="0">(K3/B3)*100-100</f>
        <v>1322.5533737009973</v>
      </c>
    </row>
    <row r="4" spans="1:14" x14ac:dyDescent="0.2">
      <c r="A4" s="1" t="s">
        <v>23</v>
      </c>
      <c r="B4" s="1">
        <v>1.1938799999999999E-2</v>
      </c>
      <c r="C4" s="1">
        <v>7.5086800000000002E-3</v>
      </c>
      <c r="D4" s="1">
        <v>9.1812400000000002E-3</v>
      </c>
      <c r="E4" s="1">
        <v>5.1528900000000002E-3</v>
      </c>
      <c r="F4" s="1">
        <v>6.2870799999999996E-3</v>
      </c>
      <c r="G4" s="1">
        <v>5.47746E-3</v>
      </c>
      <c r="H4" s="1">
        <v>5.7625899999999997E-3</v>
      </c>
      <c r="I4" s="1">
        <v>2.0066300000000001E-3</v>
      </c>
      <c r="J4" s="1">
        <v>2.7677399999999999E-3</v>
      </c>
      <c r="K4" s="1">
        <v>6.3853800000000004E-3</v>
      </c>
      <c r="N4">
        <f t="shared" si="0"/>
        <v>-46.515730224143127</v>
      </c>
    </row>
    <row r="5" spans="1:14" x14ac:dyDescent="0.2">
      <c r="A5" s="1" t="s">
        <v>24</v>
      </c>
      <c r="B5" s="1">
        <v>1.817904E-2</v>
      </c>
      <c r="C5" s="1">
        <v>1.056616E-2</v>
      </c>
      <c r="D5" s="1">
        <v>1.1529019999999999E-2</v>
      </c>
      <c r="E5" s="1">
        <v>8.0850399999999999E-3</v>
      </c>
      <c r="F5" s="1">
        <v>1.0338959999999999E-2</v>
      </c>
      <c r="G5" s="1">
        <v>1.511769E-2</v>
      </c>
      <c r="H5" s="1">
        <v>8.4413700000000001E-3</v>
      </c>
      <c r="I5" s="1">
        <v>8.1439200000000007E-3</v>
      </c>
      <c r="J5" s="1">
        <v>9.8126900000000006E-3</v>
      </c>
      <c r="K5" s="1">
        <v>9.9586599999999994E-3</v>
      </c>
      <c r="N5">
        <f t="shared" si="0"/>
        <v>-45.218999463117967</v>
      </c>
    </row>
    <row r="6" spans="1:14" x14ac:dyDescent="0.2">
      <c r="A6" s="1" t="s">
        <v>25</v>
      </c>
      <c r="B6" s="1">
        <v>1.3439670000000001E-2</v>
      </c>
      <c r="C6" s="1">
        <v>1.2174509999999999E-2</v>
      </c>
      <c r="D6" s="1">
        <v>1.150931E-2</v>
      </c>
      <c r="E6" s="1">
        <v>1.155466E-2</v>
      </c>
      <c r="F6" s="1">
        <v>1.155162E-2</v>
      </c>
      <c r="G6" s="1">
        <v>1.169363E-2</v>
      </c>
      <c r="H6" s="1">
        <v>1.3657590000000001E-2</v>
      </c>
      <c r="I6" s="1">
        <v>2.0237149999999999E-2</v>
      </c>
      <c r="J6" s="1">
        <v>1.4300139999999999E-2</v>
      </c>
      <c r="K6" s="1">
        <v>1.2000510000000001E-2</v>
      </c>
      <c r="N6">
        <f t="shared" si="0"/>
        <v>-10.70829864126128</v>
      </c>
    </row>
    <row r="7" spans="1:14" x14ac:dyDescent="0.2">
      <c r="A7" s="1" t="s">
        <v>26</v>
      </c>
      <c r="B7" s="1">
        <v>1.4793270000000001E-2</v>
      </c>
      <c r="C7" s="1">
        <v>1.00462E-2</v>
      </c>
      <c r="D7" s="1">
        <v>9.7946500000000002E-3</v>
      </c>
      <c r="E7" s="1">
        <v>1.1005630000000001E-2</v>
      </c>
      <c r="F7" s="1">
        <v>9.79031E-3</v>
      </c>
      <c r="G7" s="1">
        <v>8.1360100000000008E-3</v>
      </c>
      <c r="H7" s="1">
        <v>7.7615999999999996E-3</v>
      </c>
      <c r="I7" s="1">
        <v>7.6734100000000003E-3</v>
      </c>
      <c r="J7" s="1">
        <v>7.5871100000000002E-3</v>
      </c>
      <c r="K7" s="1">
        <v>7.2903999999999998E-3</v>
      </c>
      <c r="N7">
        <f t="shared" si="0"/>
        <v>-50.718130609391977</v>
      </c>
    </row>
    <row r="8" spans="1:14" x14ac:dyDescent="0.2">
      <c r="A8" s="1" t="s">
        <v>49</v>
      </c>
      <c r="B8" s="1">
        <v>1.1745210000000001E-2</v>
      </c>
      <c r="C8" s="1">
        <v>1.4379889999999999E-2</v>
      </c>
      <c r="D8" s="1">
        <v>7.6853099999999999E-3</v>
      </c>
      <c r="E8" s="1">
        <v>8.9150299999999991E-3</v>
      </c>
      <c r="F8" s="1">
        <v>1.236256E-2</v>
      </c>
      <c r="G8" s="1">
        <v>1.061956E-2</v>
      </c>
      <c r="H8" s="1">
        <v>8.3964699999999996E-3</v>
      </c>
      <c r="I8" s="1">
        <v>8.9455300000000001E-3</v>
      </c>
      <c r="J8" s="1">
        <v>7.2565800000000003E-3</v>
      </c>
      <c r="K8" s="1">
        <v>8.1904100000000004E-3</v>
      </c>
      <c r="N8">
        <f t="shared" si="0"/>
        <v>-30.265955227705589</v>
      </c>
    </row>
    <row r="9" spans="1:14" x14ac:dyDescent="0.2">
      <c r="A9" s="1" t="s">
        <v>27</v>
      </c>
      <c r="B9" s="1">
        <v>1.5418680000000001E-2</v>
      </c>
      <c r="C9" s="1">
        <v>9.9302899999999996E-3</v>
      </c>
      <c r="D9" s="1">
        <v>8.2325100000000002E-3</v>
      </c>
      <c r="E9" s="1">
        <v>1.126956E-2</v>
      </c>
      <c r="F9" s="1">
        <v>1.2223639999999999E-2</v>
      </c>
      <c r="G9" s="1">
        <v>1.2714430000000001E-2</v>
      </c>
      <c r="H9" s="1">
        <v>1.447409E-2</v>
      </c>
      <c r="I9" s="1">
        <v>1.264902E-2</v>
      </c>
      <c r="J9" s="1">
        <v>1.26827E-2</v>
      </c>
      <c r="K9" s="1">
        <v>8.4010400000000002E-3</v>
      </c>
      <c r="N9">
        <f t="shared" si="0"/>
        <v>-45.51388315990733</v>
      </c>
    </row>
    <row r="10" spans="1:14" x14ac:dyDescent="0.2">
      <c r="A10" s="1" t="s">
        <v>28</v>
      </c>
      <c r="B10" s="1">
        <v>1.0533229999999999E-2</v>
      </c>
      <c r="C10" s="1">
        <v>1.119973E-2</v>
      </c>
      <c r="D10" s="1">
        <v>1.2071480000000001E-2</v>
      </c>
      <c r="E10" s="1">
        <v>6.06224E-3</v>
      </c>
      <c r="F10" s="1">
        <v>9.3062800000000001E-3</v>
      </c>
      <c r="G10" s="1">
        <v>6.8098200000000003E-3</v>
      </c>
      <c r="H10" s="1">
        <v>9.8999299999999995E-3</v>
      </c>
      <c r="I10" s="1">
        <v>6.8579399999999999E-3</v>
      </c>
      <c r="J10" s="1">
        <v>6.5413499999999996E-3</v>
      </c>
      <c r="K10" s="1">
        <v>9.1628600000000001E-3</v>
      </c>
      <c r="N10">
        <f t="shared" si="0"/>
        <v>-13.009969401598553</v>
      </c>
    </row>
    <row r="11" spans="1:14" x14ac:dyDescent="0.2">
      <c r="A11" s="1" t="s">
        <v>29</v>
      </c>
      <c r="B11" s="1">
        <v>1.365385E-2</v>
      </c>
      <c r="C11" s="1">
        <v>1.310033E-2</v>
      </c>
      <c r="D11" s="1">
        <v>1.0889970000000001E-2</v>
      </c>
      <c r="E11" s="1">
        <v>1.2088659999999999E-2</v>
      </c>
      <c r="F11" s="1">
        <v>1.356225E-2</v>
      </c>
      <c r="G11" s="1">
        <v>1.302963E-2</v>
      </c>
      <c r="H11" s="1">
        <v>1.0132240000000001E-2</v>
      </c>
      <c r="I11" s="1">
        <v>8.5826500000000007E-3</v>
      </c>
      <c r="J11" s="1">
        <v>8.1290300000000006E-3</v>
      </c>
      <c r="K11" s="1">
        <v>7.5645399999999998E-3</v>
      </c>
      <c r="N11">
        <f t="shared" si="0"/>
        <v>-44.597750817534987</v>
      </c>
    </row>
    <row r="12" spans="1:14" x14ac:dyDescent="0.2">
      <c r="A12" s="1" t="s">
        <v>30</v>
      </c>
      <c r="B12" s="1">
        <v>1.4828630000000001E-2</v>
      </c>
      <c r="C12" s="1">
        <v>1.490549E-2</v>
      </c>
      <c r="D12" s="1">
        <v>1.0029160000000001E-2</v>
      </c>
      <c r="E12" s="1">
        <v>1.408158E-2</v>
      </c>
      <c r="F12" s="1">
        <v>1.2758439999999999E-2</v>
      </c>
      <c r="G12" s="1">
        <v>9.5483200000000008E-3</v>
      </c>
      <c r="H12" s="1">
        <v>1.063885E-2</v>
      </c>
      <c r="I12" s="1">
        <v>8.6069800000000002E-3</v>
      </c>
      <c r="J12" s="1">
        <v>1.133059E-2</v>
      </c>
      <c r="K12" s="1">
        <v>9.8857300000000006E-3</v>
      </c>
      <c r="N12">
        <f t="shared" si="0"/>
        <v>-33.333490686597472</v>
      </c>
    </row>
    <row r="13" spans="1:14" x14ac:dyDescent="0.2">
      <c r="A13" s="1" t="s">
        <v>31</v>
      </c>
      <c r="B13" s="1">
        <v>1.7809800000000001E-2</v>
      </c>
      <c r="C13" s="1">
        <v>1.364275E-2</v>
      </c>
      <c r="D13" s="1">
        <v>1.3818860000000001E-2</v>
      </c>
      <c r="E13" s="1">
        <v>1.544071E-2</v>
      </c>
      <c r="F13" s="1">
        <v>1.217095E-2</v>
      </c>
      <c r="G13" s="1">
        <v>1.5413970000000001E-2</v>
      </c>
      <c r="H13" s="1">
        <v>1.2098289999999999E-2</v>
      </c>
      <c r="I13" s="1">
        <v>1.2001960000000001E-2</v>
      </c>
      <c r="J13" s="1">
        <v>9.9091500000000002E-3</v>
      </c>
      <c r="K13" s="1">
        <v>9.7910199999999992E-3</v>
      </c>
      <c r="N13">
        <f t="shared" si="0"/>
        <v>-45.024537052633953</v>
      </c>
    </row>
    <row r="14" spans="1:14" x14ac:dyDescent="0.2">
      <c r="A14" s="1" t="s">
        <v>32</v>
      </c>
      <c r="B14" s="1">
        <v>1.4170820000000001E-2</v>
      </c>
      <c r="C14" s="1">
        <v>1.1872290000000001E-2</v>
      </c>
      <c r="D14" s="1">
        <v>9.9019699999999995E-3</v>
      </c>
      <c r="E14" s="1">
        <v>9.7059599999999996E-3</v>
      </c>
      <c r="F14" s="1">
        <v>1.180696E-2</v>
      </c>
      <c r="G14" s="1">
        <v>1.00698E-2</v>
      </c>
      <c r="H14" s="1">
        <v>1.085377E-2</v>
      </c>
      <c r="I14" s="1">
        <v>1.0400609999999999E-2</v>
      </c>
      <c r="J14" s="1">
        <v>8.0168099999999992E-3</v>
      </c>
      <c r="K14" s="1">
        <v>8.9888399999999997E-3</v>
      </c>
      <c r="N14">
        <f t="shared" si="0"/>
        <v>-36.567961487055797</v>
      </c>
    </row>
    <row r="15" spans="1:14" x14ac:dyDescent="0.2">
      <c r="A15" s="1" t="s">
        <v>33</v>
      </c>
      <c r="B15" s="1">
        <v>1.3693149999999999E-2</v>
      </c>
      <c r="C15" s="1">
        <v>1.017119E-2</v>
      </c>
      <c r="D15" s="1">
        <v>8.7318599999999993E-3</v>
      </c>
      <c r="E15" s="1">
        <v>1.097245E-2</v>
      </c>
      <c r="F15" s="1">
        <v>1.0709440000000001E-2</v>
      </c>
      <c r="G15" s="1">
        <v>1.003071E-2</v>
      </c>
      <c r="H15" s="1">
        <v>9.6062400000000003E-3</v>
      </c>
      <c r="I15" s="1">
        <v>8.6669299999999998E-3</v>
      </c>
      <c r="J15" s="1">
        <v>1.0469269999999999E-2</v>
      </c>
      <c r="K15" s="1">
        <v>7.8173300000000008E-3</v>
      </c>
      <c r="N15">
        <f t="shared" si="0"/>
        <v>-42.91065240649521</v>
      </c>
    </row>
    <row r="16" spans="1:14" x14ac:dyDescent="0.2">
      <c r="A16" s="1" t="s">
        <v>51</v>
      </c>
      <c r="B16" s="1">
        <v>2.2412399999999999E-2</v>
      </c>
      <c r="C16" s="1">
        <v>1.623844E-2</v>
      </c>
      <c r="D16" s="1">
        <v>1.9905579999999999E-2</v>
      </c>
      <c r="E16" s="1">
        <v>2.6400420000000001E-2</v>
      </c>
      <c r="F16" s="1">
        <v>3.2384820000000002E-2</v>
      </c>
      <c r="G16" s="1">
        <v>2.0565279999999998E-2</v>
      </c>
      <c r="H16" s="1">
        <v>2.3329280000000001E-2</v>
      </c>
      <c r="I16" s="1">
        <v>1.534978E-2</v>
      </c>
      <c r="J16" s="1">
        <v>2.5247329999999998E-2</v>
      </c>
      <c r="K16" s="1">
        <v>1.5189609999999999E-2</v>
      </c>
      <c r="N16">
        <f>(K16/B16)*100-100</f>
        <v>-32.226758401599113</v>
      </c>
    </row>
    <row r="17" spans="1:14" x14ac:dyDescent="0.2">
      <c r="A17" s="1" t="s">
        <v>50</v>
      </c>
      <c r="B17" s="1">
        <v>1.1013459999999999E-2</v>
      </c>
      <c r="C17" s="1">
        <v>1.164068E-2</v>
      </c>
      <c r="D17" s="1">
        <v>1.050748E-2</v>
      </c>
      <c r="E17" s="1">
        <v>1.073139E-2</v>
      </c>
      <c r="F17" s="1">
        <v>9.8616599999999995E-3</v>
      </c>
      <c r="G17" s="1">
        <v>9.3172700000000008E-3</v>
      </c>
      <c r="H17" s="1">
        <v>9.7703800000000004E-3</v>
      </c>
      <c r="I17" s="1">
        <v>8.3026999999999997E-3</v>
      </c>
      <c r="J17" s="1">
        <v>9.9442300000000001E-3</v>
      </c>
      <c r="K17" s="1">
        <v>7.5084399999999999E-3</v>
      </c>
      <c r="N17">
        <f t="shared" si="0"/>
        <v>-31.824876106146476</v>
      </c>
    </row>
    <row r="18" spans="1:14" x14ac:dyDescent="0.2">
      <c r="A18" s="1" t="s">
        <v>34</v>
      </c>
      <c r="B18" s="1">
        <v>1.255125E-2</v>
      </c>
      <c r="C18" s="1">
        <v>1.244026E-2</v>
      </c>
      <c r="D18" s="1">
        <v>1.417114E-2</v>
      </c>
      <c r="E18" s="1">
        <v>1.093359E-2</v>
      </c>
      <c r="F18" s="1">
        <v>1.2790630000000001E-2</v>
      </c>
      <c r="G18" s="1">
        <v>1.5006480000000001E-2</v>
      </c>
      <c r="H18" s="1">
        <v>1.509219E-2</v>
      </c>
      <c r="I18" s="1">
        <v>1.146614E-2</v>
      </c>
      <c r="J18" s="1">
        <v>7.8396500000000001E-3</v>
      </c>
      <c r="K18" s="1">
        <v>9.5519400000000001E-3</v>
      </c>
      <c r="N18">
        <f t="shared" si="0"/>
        <v>-23.896504332237825</v>
      </c>
    </row>
    <row r="19" spans="1:14" x14ac:dyDescent="0.2">
      <c r="A19" s="1" t="s">
        <v>35</v>
      </c>
      <c r="B19" s="1">
        <v>9.3114100000000009E-3</v>
      </c>
      <c r="C19" s="1">
        <v>8.1781700000000002E-3</v>
      </c>
      <c r="D19" s="1">
        <v>9.6244399999999997E-3</v>
      </c>
      <c r="E19" s="1">
        <v>8.2183599999999992E-3</v>
      </c>
      <c r="F19" s="1">
        <v>7.5960100000000003E-3</v>
      </c>
      <c r="G19" s="1">
        <v>8.5580099999999996E-3</v>
      </c>
      <c r="H19" s="1">
        <v>8.2711399999999997E-3</v>
      </c>
      <c r="I19" s="1">
        <v>7.5984700000000004E-3</v>
      </c>
      <c r="J19" s="1">
        <v>6.5897500000000001E-3</v>
      </c>
      <c r="K19" s="1">
        <v>7.3066900000000002E-3</v>
      </c>
      <c r="N19">
        <f t="shared" si="0"/>
        <v>-21.529714618946002</v>
      </c>
    </row>
    <row r="20" spans="1:14" x14ac:dyDescent="0.2">
      <c r="A20" s="1" t="s">
        <v>52</v>
      </c>
      <c r="B20" s="1">
        <v>4.2464620000000002E-2</v>
      </c>
      <c r="C20" s="1">
        <v>5.4416060000000002E-2</v>
      </c>
      <c r="D20" s="1">
        <v>2.4007069999999998E-2</v>
      </c>
      <c r="E20" s="1">
        <v>4.2592360000000003E-2</v>
      </c>
      <c r="F20" s="1">
        <v>4.3075549999999997E-2</v>
      </c>
      <c r="G20" s="1">
        <v>1.000059E-2</v>
      </c>
      <c r="H20" s="1">
        <v>8.3521780000000004E-2</v>
      </c>
      <c r="I20" s="1">
        <v>6.4665769999999997E-2</v>
      </c>
      <c r="J20" s="1">
        <v>4.5418180000000002E-2</v>
      </c>
      <c r="K20" s="1">
        <v>6.0432550000000002E-2</v>
      </c>
      <c r="N20">
        <f t="shared" si="0"/>
        <v>42.312706436558244</v>
      </c>
    </row>
    <row r="21" spans="1:14" x14ac:dyDescent="0.2">
      <c r="A21" s="1" t="s">
        <v>36</v>
      </c>
      <c r="B21" s="1">
        <v>1.3024229999999999E-2</v>
      </c>
      <c r="C21" s="1">
        <v>1.302827E-2</v>
      </c>
      <c r="D21" s="1">
        <v>1.183436E-2</v>
      </c>
      <c r="E21" s="1">
        <v>1.2156230000000001E-2</v>
      </c>
      <c r="F21" s="1">
        <v>1.1355489999999999E-2</v>
      </c>
      <c r="G21" s="1">
        <v>1.1157749999999999E-2</v>
      </c>
      <c r="H21" s="1">
        <v>9.7350100000000005E-3</v>
      </c>
      <c r="I21" s="1">
        <v>8.4103000000000008E-3</v>
      </c>
      <c r="J21" s="1">
        <v>8.3728599999999993E-3</v>
      </c>
      <c r="K21" s="1">
        <v>9.0045699999999999E-3</v>
      </c>
      <c r="N21">
        <f t="shared" si="0"/>
        <v>-30.862937770601405</v>
      </c>
    </row>
    <row r="22" spans="1:14" x14ac:dyDescent="0.2">
      <c r="A22" s="1" t="s">
        <v>37</v>
      </c>
      <c r="B22" s="1">
        <v>1.301064E-2</v>
      </c>
      <c r="C22" s="1">
        <v>1.1465889999999999E-2</v>
      </c>
      <c r="D22" s="1">
        <v>1.156778E-2</v>
      </c>
      <c r="E22" s="1">
        <v>1.296598E-2</v>
      </c>
      <c r="F22" s="1">
        <v>1.1886270000000001E-2</v>
      </c>
      <c r="G22" s="1">
        <v>1.4098899999999999E-2</v>
      </c>
      <c r="H22" s="1">
        <v>1.194926E-2</v>
      </c>
      <c r="I22" s="1">
        <v>1.0032579999999999E-2</v>
      </c>
      <c r="J22" s="1">
        <v>8.2890299999999993E-3</v>
      </c>
      <c r="K22" s="1">
        <v>9.5803299999999997E-3</v>
      </c>
      <c r="N22">
        <f t="shared" si="0"/>
        <v>-26.365420917034072</v>
      </c>
    </row>
    <row r="23" spans="1:14" x14ac:dyDescent="0.2">
      <c r="A23" s="1" t="s">
        <v>53</v>
      </c>
      <c r="B23" s="1">
        <v>1.0883240000000001E-2</v>
      </c>
      <c r="C23" s="1">
        <v>1.1427090000000001E-2</v>
      </c>
      <c r="D23" s="1">
        <v>9.1266799999999999E-3</v>
      </c>
      <c r="E23" s="1">
        <v>6.0017400000000002E-3</v>
      </c>
      <c r="F23" s="1">
        <v>9.6217400000000002E-3</v>
      </c>
      <c r="G23" s="1">
        <v>1.115435E-2</v>
      </c>
      <c r="H23" s="1">
        <v>1.0049779999999999E-2</v>
      </c>
      <c r="I23" s="1">
        <v>5.2318399999999998E-3</v>
      </c>
      <c r="J23" s="1">
        <v>6.6009199999999997E-3</v>
      </c>
      <c r="K23" s="1">
        <v>7.3441000000000001E-3</v>
      </c>
      <c r="N23">
        <f t="shared" si="0"/>
        <v>-32.519176274712308</v>
      </c>
    </row>
    <row r="24" spans="1:14" x14ac:dyDescent="0.2">
      <c r="A24" s="1" t="s">
        <v>38</v>
      </c>
      <c r="B24" s="1">
        <v>1.369414E-2</v>
      </c>
      <c r="C24" s="1">
        <v>9.8166199999999999E-3</v>
      </c>
      <c r="D24" s="1">
        <v>8.3379400000000003E-3</v>
      </c>
      <c r="E24" s="1">
        <v>9.2873299999999999E-3</v>
      </c>
      <c r="F24" s="1">
        <v>9.55108E-3</v>
      </c>
      <c r="G24" s="1">
        <v>1.0230049999999999E-2</v>
      </c>
      <c r="H24" s="1">
        <v>8.1752999999999999E-3</v>
      </c>
      <c r="I24" s="1">
        <v>6.7124200000000002E-3</v>
      </c>
      <c r="J24" s="1">
        <v>6.71756E-3</v>
      </c>
      <c r="K24" s="1">
        <v>6.3812399999999998E-3</v>
      </c>
      <c r="N24">
        <f t="shared" si="0"/>
        <v>-53.401674000703956</v>
      </c>
    </row>
    <row r="25" spans="1:14" x14ac:dyDescent="0.2">
      <c r="A25" s="1" t="s">
        <v>54</v>
      </c>
      <c r="B25" s="1">
        <v>1.5349379999999999E-2</v>
      </c>
      <c r="C25" s="1">
        <v>1.2508780000000001E-2</v>
      </c>
      <c r="D25" s="1">
        <v>9.4882899999999999E-3</v>
      </c>
      <c r="E25" s="1">
        <v>1.160603E-2</v>
      </c>
      <c r="F25" s="1">
        <v>9.18041E-3</v>
      </c>
      <c r="G25" s="1">
        <v>9.6430999999999999E-3</v>
      </c>
      <c r="H25" s="1">
        <v>7.9962200000000001E-3</v>
      </c>
      <c r="I25" s="1">
        <v>6.2810399999999999E-3</v>
      </c>
      <c r="J25" s="1">
        <v>8.5327200000000006E-3</v>
      </c>
      <c r="K25" s="1">
        <v>7.5432399999999997E-3</v>
      </c>
      <c r="N25">
        <f t="shared" si="0"/>
        <v>-50.856386381730076</v>
      </c>
    </row>
    <row r="26" spans="1:14" x14ac:dyDescent="0.2">
      <c r="A26" s="1" t="s">
        <v>39</v>
      </c>
      <c r="B26" s="1">
        <v>8.8410299999999997E-3</v>
      </c>
      <c r="C26" s="1">
        <v>8.8403900000000001E-3</v>
      </c>
      <c r="D26" s="1">
        <v>7.9101099999999997E-3</v>
      </c>
      <c r="E26" s="1">
        <v>9.7288099999999992E-3</v>
      </c>
      <c r="F26" s="1">
        <v>8.4771099999999995E-3</v>
      </c>
      <c r="G26" s="1">
        <v>7.8510300000000002E-3</v>
      </c>
      <c r="H26" s="1">
        <v>7.7283600000000001E-3</v>
      </c>
      <c r="I26" s="1">
        <v>6.1841300000000004E-3</v>
      </c>
      <c r="J26" s="1">
        <v>5.7466100000000001E-3</v>
      </c>
      <c r="K26" s="1">
        <v>7.6473799999999996E-3</v>
      </c>
      <c r="N26">
        <f t="shared" si="0"/>
        <v>-13.501254944276852</v>
      </c>
    </row>
    <row r="27" spans="1:14" x14ac:dyDescent="0.2">
      <c r="A27" s="1" t="s">
        <v>40</v>
      </c>
      <c r="B27" s="1">
        <v>8.9563999999999998E-3</v>
      </c>
      <c r="C27" s="1">
        <v>9.8468400000000008E-3</v>
      </c>
      <c r="D27" s="1">
        <v>8.35872E-3</v>
      </c>
      <c r="E27" s="1">
        <v>9.6479500000000006E-3</v>
      </c>
      <c r="F27" s="1">
        <v>9.1426700000000003E-3</v>
      </c>
      <c r="G27" s="1">
        <v>9.7138399999999996E-3</v>
      </c>
      <c r="H27" s="1">
        <v>7.8975899999999995E-3</v>
      </c>
      <c r="I27" s="1">
        <v>6.5863800000000002E-3</v>
      </c>
      <c r="J27" s="1">
        <v>7.8701099999999996E-3</v>
      </c>
      <c r="K27" s="1">
        <v>8.13703E-3</v>
      </c>
      <c r="N27">
        <f t="shared" si="0"/>
        <v>-9.1484301728372941</v>
      </c>
    </row>
    <row r="28" spans="1:14" x14ac:dyDescent="0.2">
      <c r="A28" s="1" t="s">
        <v>41</v>
      </c>
      <c r="B28" s="1">
        <v>8.61957E-3</v>
      </c>
      <c r="C28" s="1">
        <v>9.4579699999999996E-3</v>
      </c>
      <c r="D28" s="1">
        <v>8.0951600000000005E-3</v>
      </c>
      <c r="E28" s="1">
        <v>1.087668E-2</v>
      </c>
      <c r="F28" s="1">
        <v>1.0957939999999999E-2</v>
      </c>
      <c r="G28" s="1">
        <v>8.1748299999999992E-3</v>
      </c>
      <c r="H28" s="1">
        <v>8.8352499999999994E-3</v>
      </c>
      <c r="I28" s="1">
        <v>1.051008E-2</v>
      </c>
      <c r="J28" s="1">
        <v>8.2386600000000001E-3</v>
      </c>
      <c r="K28" s="1">
        <v>8.3780499999999997E-3</v>
      </c>
      <c r="N28">
        <f t="shared" si="0"/>
        <v>-2.8019959232305212</v>
      </c>
    </row>
    <row r="29" spans="1:14" x14ac:dyDescent="0.2">
      <c r="A29" s="1" t="s">
        <v>42</v>
      </c>
      <c r="B29" s="1">
        <v>1.176206E-2</v>
      </c>
      <c r="C29" s="1">
        <v>1.245719E-2</v>
      </c>
      <c r="D29" s="1">
        <v>8.2425199999999997E-3</v>
      </c>
      <c r="E29" s="1">
        <v>1.027435E-2</v>
      </c>
      <c r="F29" s="1">
        <v>9.1829100000000007E-3</v>
      </c>
      <c r="G29" s="1">
        <v>1.55929E-2</v>
      </c>
      <c r="H29" s="1">
        <v>1.6304320000000001E-2</v>
      </c>
      <c r="I29" s="1">
        <v>9.7116000000000008E-3</v>
      </c>
      <c r="J29" s="1">
        <v>1.277552E-2</v>
      </c>
      <c r="K29" s="1">
        <v>1.4613849999999999E-2</v>
      </c>
      <c r="N29">
        <f t="shared" si="0"/>
        <v>24.245667850699618</v>
      </c>
    </row>
    <row r="30" spans="1:14" x14ac:dyDescent="0.2">
      <c r="A30" s="1" t="s">
        <v>43</v>
      </c>
      <c r="B30" s="1">
        <v>1.608002E-2</v>
      </c>
      <c r="C30" s="1">
        <v>1.489382E-2</v>
      </c>
      <c r="D30" s="1">
        <v>1.367937E-2</v>
      </c>
      <c r="E30" s="1">
        <v>1.4431289999999999E-2</v>
      </c>
      <c r="F30" s="1">
        <v>1.4445090000000001E-2</v>
      </c>
      <c r="G30" s="1">
        <v>1.034094E-2</v>
      </c>
      <c r="H30" s="1">
        <v>1.2304519999999999E-2</v>
      </c>
      <c r="I30" s="1">
        <v>1.1160740000000001E-2</v>
      </c>
      <c r="J30" s="1">
        <v>1.061495E-2</v>
      </c>
      <c r="K30" s="1">
        <v>9.9356400000000008E-3</v>
      </c>
      <c r="N30">
        <f t="shared" si="0"/>
        <v>-38.211270881503879</v>
      </c>
    </row>
    <row r="31" spans="1:14" x14ac:dyDescent="0.2">
      <c r="A31" s="1" t="s">
        <v>44</v>
      </c>
      <c r="B31" s="1">
        <v>1.3857100000000001E-2</v>
      </c>
      <c r="C31" s="1">
        <v>1.196646E-2</v>
      </c>
      <c r="D31" s="1">
        <v>1.180528E-2</v>
      </c>
      <c r="E31" s="1">
        <v>1.344296E-2</v>
      </c>
      <c r="F31" s="1">
        <v>1.3268179999999999E-2</v>
      </c>
      <c r="G31" s="1">
        <v>1.236697E-2</v>
      </c>
      <c r="H31" s="1">
        <v>2.3402570000000001E-2</v>
      </c>
      <c r="I31" s="1">
        <v>3.1714619999999999E-2</v>
      </c>
      <c r="J31" s="1">
        <v>1.8597949999999999E-2</v>
      </c>
      <c r="K31" s="1">
        <v>9.7126899999999995E-3</v>
      </c>
      <c r="N31">
        <f t="shared" si="0"/>
        <v>-29.908205901667742</v>
      </c>
    </row>
    <row r="32" spans="1:14" x14ac:dyDescent="0.2">
      <c r="A32" s="1" t="s">
        <v>55</v>
      </c>
      <c r="B32" s="1">
        <v>1.192787E-2</v>
      </c>
      <c r="C32" s="1">
        <v>1.1325139999999999E-2</v>
      </c>
      <c r="D32" s="1">
        <v>1.1291229999999999E-2</v>
      </c>
      <c r="E32" s="1">
        <v>1.0599890000000001E-2</v>
      </c>
      <c r="F32" s="1">
        <v>1.1944919999999999E-2</v>
      </c>
      <c r="G32" s="1">
        <v>1.071505E-2</v>
      </c>
      <c r="H32" s="1">
        <v>9.7363299999999996E-3</v>
      </c>
      <c r="I32" s="1">
        <v>7.3725700000000002E-3</v>
      </c>
      <c r="J32" s="1">
        <v>7.9762700000000006E-3</v>
      </c>
      <c r="K32" s="1">
        <v>7.8162200000000005E-3</v>
      </c>
      <c r="N32">
        <f t="shared" si="0"/>
        <v>-34.470949130062607</v>
      </c>
    </row>
    <row r="33" spans="1:14" x14ac:dyDescent="0.2">
      <c r="A33" s="1" t="s">
        <v>45</v>
      </c>
      <c r="B33" s="1">
        <v>1.6749679999999999E-2</v>
      </c>
      <c r="C33" s="1">
        <v>1.5142950000000001E-2</v>
      </c>
      <c r="D33" s="1">
        <v>1.457148E-2</v>
      </c>
      <c r="E33" s="1">
        <v>1.5581889999999999E-2</v>
      </c>
      <c r="F33" s="1">
        <v>1.239004E-2</v>
      </c>
      <c r="G33" s="1">
        <v>8.6072200000000005E-3</v>
      </c>
      <c r="H33" s="1">
        <v>2.7452750000000001E-2</v>
      </c>
      <c r="I33" s="1">
        <v>2.3216199999999999E-2</v>
      </c>
      <c r="J33" s="1">
        <v>1.106033E-2</v>
      </c>
      <c r="K33" s="1">
        <v>1.054064E-2</v>
      </c>
      <c r="N33">
        <f t="shared" si="0"/>
        <v>-37.069603717802366</v>
      </c>
    </row>
    <row r="35" spans="1:14" x14ac:dyDescent="0.2">
      <c r="B35">
        <f>AVERAGE(B2:B33)</f>
        <v>1.3848100625000002E-2</v>
      </c>
      <c r="C35">
        <f t="shared" ref="C35:K35" si="1">AVERAGE(C2:C33)</f>
        <v>1.3243010937499999E-2</v>
      </c>
      <c r="D35">
        <f t="shared" si="1"/>
        <v>1.10841225E-2</v>
      </c>
      <c r="E35">
        <f t="shared" si="1"/>
        <v>1.2100568749999997E-2</v>
      </c>
      <c r="F35">
        <f t="shared" si="1"/>
        <v>1.2387238437500002E-2</v>
      </c>
      <c r="G35">
        <f t="shared" si="1"/>
        <v>1.22604584375E-2</v>
      </c>
      <c r="H35">
        <f t="shared" si="1"/>
        <v>1.5498431562500001E-2</v>
      </c>
      <c r="I35">
        <f t="shared" si="1"/>
        <v>1.3085048750000002E-2</v>
      </c>
      <c r="J35">
        <f t="shared" si="1"/>
        <v>1.10347421875E-2</v>
      </c>
      <c r="K35">
        <f t="shared" si="1"/>
        <v>1.2045002187500002E-2</v>
      </c>
    </row>
    <row r="106" spans="4:13" x14ac:dyDescent="0.2">
      <c r="D106">
        <v>2014</v>
      </c>
      <c r="E106">
        <v>2015</v>
      </c>
      <c r="F106">
        <v>2016</v>
      </c>
      <c r="G106">
        <v>2017</v>
      </c>
      <c r="H106">
        <v>2018</v>
      </c>
      <c r="I106">
        <v>2019</v>
      </c>
      <c r="J106">
        <v>2020</v>
      </c>
      <c r="K106">
        <v>2021</v>
      </c>
      <c r="L106">
        <v>2022</v>
      </c>
      <c r="M106">
        <v>2023</v>
      </c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CE70217-BA15-294D-8CCA-5ADC8802D06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N2:N33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C7F8A27-215B-8F40-A1A6-8B1E4466E9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Ingreso!B3:K3</xm:f>
              <xm:sqref>M3</xm:sqref>
            </x14:sparkline>
            <x14:sparkline>
              <xm:f>Ingreso!B4:K4</xm:f>
              <xm:sqref>M4</xm:sqref>
            </x14:sparkline>
            <x14:sparkline>
              <xm:f>Ingreso!B5:K5</xm:f>
              <xm:sqref>M5</xm:sqref>
            </x14:sparkline>
            <x14:sparkline>
              <xm:f>Ingreso!B6:K6</xm:f>
              <xm:sqref>M6</xm:sqref>
            </x14:sparkline>
            <x14:sparkline>
              <xm:f>Ingreso!B7:K7</xm:f>
              <xm:sqref>M7</xm:sqref>
            </x14:sparkline>
            <x14:sparkline>
              <xm:f>Ingreso!B8:K8</xm:f>
              <xm:sqref>M8</xm:sqref>
            </x14:sparkline>
            <x14:sparkline>
              <xm:f>Ingreso!B9:K9</xm:f>
              <xm:sqref>M9</xm:sqref>
            </x14:sparkline>
            <x14:sparkline>
              <xm:f>Ingreso!B10:K10</xm:f>
              <xm:sqref>M10</xm:sqref>
            </x14:sparkline>
            <x14:sparkline>
              <xm:f>Ingreso!B11:K11</xm:f>
              <xm:sqref>M11</xm:sqref>
            </x14:sparkline>
            <x14:sparkline>
              <xm:f>Ingreso!B12:K12</xm:f>
              <xm:sqref>M12</xm:sqref>
            </x14:sparkline>
            <x14:sparkline>
              <xm:f>Ingreso!B13:K13</xm:f>
              <xm:sqref>M13</xm:sqref>
            </x14:sparkline>
            <x14:sparkline>
              <xm:f>Ingreso!B14:K14</xm:f>
              <xm:sqref>M14</xm:sqref>
            </x14:sparkline>
            <x14:sparkline>
              <xm:f>Ingreso!B15:K15</xm:f>
              <xm:sqref>M15</xm:sqref>
            </x14:sparkline>
            <x14:sparkline>
              <xm:f>Ingreso!B16:K16</xm:f>
              <xm:sqref>M16</xm:sqref>
            </x14:sparkline>
            <x14:sparkline>
              <xm:f>Ingreso!B17:K17</xm:f>
              <xm:sqref>M17</xm:sqref>
            </x14:sparkline>
            <x14:sparkline>
              <xm:f>Ingreso!B18:K18</xm:f>
              <xm:sqref>M18</xm:sqref>
            </x14:sparkline>
            <x14:sparkline>
              <xm:f>Ingreso!B19:K19</xm:f>
              <xm:sqref>M19</xm:sqref>
            </x14:sparkline>
            <x14:sparkline>
              <xm:f>Ingreso!B20:K20</xm:f>
              <xm:sqref>M20</xm:sqref>
            </x14:sparkline>
            <x14:sparkline>
              <xm:f>Ingreso!B21:K21</xm:f>
              <xm:sqref>M21</xm:sqref>
            </x14:sparkline>
            <x14:sparkline>
              <xm:f>Ingreso!B22:K22</xm:f>
              <xm:sqref>M22</xm:sqref>
            </x14:sparkline>
            <x14:sparkline>
              <xm:f>Ingreso!B23:K23</xm:f>
              <xm:sqref>M23</xm:sqref>
            </x14:sparkline>
            <x14:sparkline>
              <xm:f>Ingreso!B24:K24</xm:f>
              <xm:sqref>M24</xm:sqref>
            </x14:sparkline>
            <x14:sparkline>
              <xm:f>Ingreso!B25:K25</xm:f>
              <xm:sqref>M25</xm:sqref>
            </x14:sparkline>
            <x14:sparkline>
              <xm:f>Ingreso!B26:K26</xm:f>
              <xm:sqref>M26</xm:sqref>
            </x14:sparkline>
            <x14:sparkline>
              <xm:f>Ingreso!B27:K27</xm:f>
              <xm:sqref>M27</xm:sqref>
            </x14:sparkline>
            <x14:sparkline>
              <xm:f>Ingreso!B28:K28</xm:f>
              <xm:sqref>M28</xm:sqref>
            </x14:sparkline>
            <x14:sparkline>
              <xm:f>Ingreso!B29:K29</xm:f>
              <xm:sqref>M29</xm:sqref>
            </x14:sparkline>
            <x14:sparkline>
              <xm:f>Ingreso!B30:K30</xm:f>
              <xm:sqref>M30</xm:sqref>
            </x14:sparkline>
            <x14:sparkline>
              <xm:f>Ingreso!B31:K31</xm:f>
              <xm:sqref>M31</xm:sqref>
            </x14:sparkline>
            <x14:sparkline>
              <xm:f>Ingreso!B32:K32</xm:f>
              <xm:sqref>M32</xm:sqref>
            </x14:sparkline>
            <x14:sparkline>
              <xm:f>Ingreso!B33:K33</xm:f>
              <xm:sqref>M33</xm:sqref>
            </x14:sparkline>
          </x14:sparklines>
        </x14:sparklineGroup>
        <x14:sparklineGroup displayEmptyCellsAs="gap" xr2:uid="{1FA8B63D-AC00-4747-9279-85DACAFB21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Ingreso!B2:K2</xm:f>
              <xm:sqref>M2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GiniEspacial</vt:lpstr>
      <vt:lpstr>Product</vt:lpstr>
      <vt:lpstr>Ingreso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DADDHIAT ASBEL ITZAME MARES PARIS</cp:lastModifiedBy>
  <dcterms:created xsi:type="dcterms:W3CDTF">2025-04-12T00:26:13Z</dcterms:created>
  <dcterms:modified xsi:type="dcterms:W3CDTF">2025-10-07T15:16:34Z</dcterms:modified>
</cp:coreProperties>
</file>